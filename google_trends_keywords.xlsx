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eywords" sheetId="2" state="visible" r:id="rId4"/>
    <sheet name="Batches" sheetId="3" state="visible" r:id="rId5"/>
  </sheets>
  <definedNames>
    <definedName function="false" hidden="true" localSheetId="1" name="_xlnm._FilterDatabase" vbProcedure="false">Keywords!$A$1:$I$138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<sst xmlns="http://schemas.openxmlformats.org/spreadsheetml/2006/main" count="476" uniqueCount="185">
  <si>
    <t xml:space="preserve">Google Trends Keyword List: Fashion Trend Forecasting</t>
  </si>
  <si>
    <t xml:space="preserve">Keywords are English, grouped by category. Batches use 4 keywords plus 1 shared anchor term (Google Trends compares at most 5 terms).</t>
  </si>
  <si>
    <t xml:space="preserve">Anchor term (edit)</t>
  </si>
  <si>
    <t xml:space="preserve">leggings</t>
  </si>
  <si>
    <t xml:space="preserve">Placeholder. Test 2-3 candidates (e.g. leggings, blazer, handbag); pick one with no zero weeks, no strong trend or seasonality, and a scale close to your keywords. Changing this cell updates the Batches sheet.</t>
  </si>
  <si>
    <t xml:space="preserve">Category</t>
  </si>
  <si>
    <t xml:space="preserve">Keywords</t>
  </si>
  <si>
    <t xml:space="preserve">Medium ambiguity risk</t>
  </si>
  <si>
    <t xml:space="preserve">Pulled</t>
  </si>
  <si>
    <t xml:space="preserve">Kept</t>
  </si>
  <si>
    <t xml:space="preserve">Jeans and denim</t>
  </si>
  <si>
    <t xml:space="preserve">Trousers and shorts</t>
  </si>
  <si>
    <t xml:space="preserve">Skirts and dresses</t>
  </si>
  <si>
    <t xml:space="preserve">Tops and knitwear</t>
  </si>
  <si>
    <t xml:space="preserve">Outerwear</t>
  </si>
  <si>
    <t xml:space="preserve">Shoes</t>
  </si>
  <si>
    <t xml:space="preserve">Bags</t>
  </si>
  <si>
    <t xml:space="preserve">Accessories</t>
  </si>
  <si>
    <t xml:space="preserve">Patterns and materials</t>
  </si>
  <si>
    <t xml:space="preserve">Colors</t>
  </si>
  <si>
    <t xml:space="preserve">Aesthetics and styles</t>
  </si>
  <si>
    <t xml:space="preserve">Total</t>
  </si>
  <si>
    <t xml:space="preserve">Batches needed</t>
  </si>
  <si>
    <t xml:space="preserve">How to use</t>
  </si>
  <si>
    <t xml:space="preserve">1. Yellow cells are for you to fill. Keywords sheet: Pulled? (Yes/No), Zero share (e.g. 0.12 means 12% of weeks are zero), Keep? (Yes/No).</t>
  </si>
  <si>
    <t xml:space="preserve">2. Pull each batch from the Batches sheet (paste the query string into Google Trends) with the same region, language and date range every time.</t>
  </si>
  <si>
    <t xml:space="preserve">3. Check keywords marked Medium in the Keywords sheet by looking at related queries; reword or drop them if they are not about fashion.</t>
  </si>
  <si>
    <t xml:space="preserve">4. Over-collect now; set the zero-share cut-off after EDA and drop low-volume keywords then.</t>
  </si>
  <si>
    <t xml:space="preserve">5. Brand names are left out on purpose, since they mostly reflect brand demand and not a style trend.</t>
  </si>
  <si>
    <t xml:space="preserve">6. Optional: Google Trends has a Shopping &gt; Apparel category filter to cut ambiguity (believed to be category 68; verify in the UI).</t>
  </si>
  <si>
    <t xml:space="preserve">7. Source: keyword list compiled by Claude as a starting point for this project; not validated against Google Trends volumes yet.</t>
  </si>
  <si>
    <t xml:space="preserve">#</t>
  </si>
  <si>
    <t xml:space="preserve">Keyword</t>
  </si>
  <si>
    <t xml:space="preserve">Batch #</t>
  </si>
  <si>
    <t xml:space="preserve">Ambiguity risk</t>
  </si>
  <si>
    <t xml:space="preserve">Check note</t>
  </si>
  <si>
    <t xml:space="preserve">Pulled? (Yes/No)</t>
  </si>
  <si>
    <t xml:space="preserve">Zero share (0-1)</t>
  </si>
  <si>
    <t xml:space="preserve">Keep? (Yes/No)</t>
  </si>
  <si>
    <t xml:space="preserve">skinny jeans</t>
  </si>
  <si>
    <t xml:space="preserve">Low</t>
  </si>
  <si>
    <t xml:space="preserve">wide leg jeans</t>
  </si>
  <si>
    <t xml:space="preserve">baggy jeans</t>
  </si>
  <si>
    <t xml:space="preserve">straight leg jeans</t>
  </si>
  <si>
    <t xml:space="preserve">bootcut jeans</t>
  </si>
  <si>
    <t xml:space="preserve">flare jeans</t>
  </si>
  <si>
    <t xml:space="preserve">mom jeans</t>
  </si>
  <si>
    <t xml:space="preserve">low rise jeans</t>
  </si>
  <si>
    <t xml:space="preserve">high waisted jeans</t>
  </si>
  <si>
    <t xml:space="preserve">barrel jeans</t>
  </si>
  <si>
    <t xml:space="preserve">boyfriend jeans</t>
  </si>
  <si>
    <t xml:space="preserve">cargo jeans</t>
  </si>
  <si>
    <t xml:space="preserve">jorts</t>
  </si>
  <si>
    <t xml:space="preserve">denim skirt</t>
  </si>
  <si>
    <t xml:space="preserve">cargo pants</t>
  </si>
  <si>
    <t xml:space="preserve">parachute pants</t>
  </si>
  <si>
    <t xml:space="preserve">bell bottoms</t>
  </si>
  <si>
    <t xml:space="preserve">joggers</t>
  </si>
  <si>
    <t xml:space="preserve">sweatpants</t>
  </si>
  <si>
    <t xml:space="preserve">track pants</t>
  </si>
  <si>
    <t xml:space="preserve">pleated trousers</t>
  </si>
  <si>
    <t xml:space="preserve">capri pants</t>
  </si>
  <si>
    <t xml:space="preserve">harem pants</t>
  </si>
  <si>
    <t xml:space="preserve">palazzo pants</t>
  </si>
  <si>
    <t xml:space="preserve">culottes</t>
  </si>
  <si>
    <t xml:space="preserve">bike shorts</t>
  </si>
  <si>
    <t xml:space="preserve">bermuda shorts</t>
  </si>
  <si>
    <t xml:space="preserve">leather pants</t>
  </si>
  <si>
    <t xml:space="preserve">mini skirt</t>
  </si>
  <si>
    <t xml:space="preserve">maxi skirt</t>
  </si>
  <si>
    <t xml:space="preserve">midi skirt</t>
  </si>
  <si>
    <t xml:space="preserve">pleated skirt</t>
  </si>
  <si>
    <t xml:space="preserve">tennis skirt</t>
  </si>
  <si>
    <t xml:space="preserve">balloon skirt</t>
  </si>
  <si>
    <t xml:space="preserve">slip dress</t>
  </si>
  <si>
    <t xml:space="preserve">bodycon dress</t>
  </si>
  <si>
    <t xml:space="preserve">wrap dress</t>
  </si>
  <si>
    <t xml:space="preserve">babydoll dress</t>
  </si>
  <si>
    <t xml:space="preserve">sundress</t>
  </si>
  <si>
    <t xml:space="preserve">corset dress</t>
  </si>
  <si>
    <t xml:space="preserve">crop top</t>
  </si>
  <si>
    <t xml:space="preserve">corset top</t>
  </si>
  <si>
    <t xml:space="preserve">baby tee</t>
  </si>
  <si>
    <t xml:space="preserve">tube top</t>
  </si>
  <si>
    <t xml:space="preserve">halter top</t>
  </si>
  <si>
    <t xml:space="preserve">off the shoulder top</t>
  </si>
  <si>
    <t xml:space="preserve">tank top</t>
  </si>
  <si>
    <t xml:space="preserve">oversized t shirt</t>
  </si>
  <si>
    <t xml:space="preserve">graphic tee</t>
  </si>
  <si>
    <t xml:space="preserve">cardigan</t>
  </si>
  <si>
    <t xml:space="preserve">sweater vest</t>
  </si>
  <si>
    <t xml:space="preserve">turtleneck</t>
  </si>
  <si>
    <t xml:space="preserve">hoodie</t>
  </si>
  <si>
    <t xml:space="preserve">mesh top</t>
  </si>
  <si>
    <t xml:space="preserve">blazer</t>
  </si>
  <si>
    <t xml:space="preserve">bomber jacket</t>
  </si>
  <si>
    <t xml:space="preserve">puffer jacket</t>
  </si>
  <si>
    <t xml:space="preserve">trench coat</t>
  </si>
  <si>
    <t xml:space="preserve">leather jacket</t>
  </si>
  <si>
    <t xml:space="preserve">denim jacket</t>
  </si>
  <si>
    <t xml:space="preserve">windbreaker</t>
  </si>
  <si>
    <t xml:space="preserve">shacket</t>
  </si>
  <si>
    <t xml:space="preserve">fleece jacket</t>
  </si>
  <si>
    <t xml:space="preserve">faux fur coat</t>
  </si>
  <si>
    <t xml:space="preserve">ballet flats</t>
  </si>
  <si>
    <t xml:space="preserve">mary janes</t>
  </si>
  <si>
    <t xml:space="preserve">loafers</t>
  </si>
  <si>
    <t xml:space="preserve">chunky sneakers</t>
  </si>
  <si>
    <t xml:space="preserve">white sneakers</t>
  </si>
  <si>
    <t xml:space="preserve">dad sneakers</t>
  </si>
  <si>
    <t xml:space="preserve">platform shoes</t>
  </si>
  <si>
    <t xml:space="preserve">combat boots</t>
  </si>
  <si>
    <t xml:space="preserve">knee high boots</t>
  </si>
  <si>
    <t xml:space="preserve">cowboy boots</t>
  </si>
  <si>
    <t xml:space="preserve">kitten heels</t>
  </si>
  <si>
    <t xml:space="preserve">platform sandals</t>
  </si>
  <si>
    <t xml:space="preserve">clogs</t>
  </si>
  <si>
    <t xml:space="preserve">Medium</t>
  </si>
  <si>
    <t xml:space="preserve">May pick up non-fashion searches; check related queries before keeping.</t>
  </si>
  <si>
    <t xml:space="preserve">mules</t>
  </si>
  <si>
    <t xml:space="preserve">baguette bag</t>
  </si>
  <si>
    <t xml:space="preserve">tote bag</t>
  </si>
  <si>
    <t xml:space="preserve">shoulder bag</t>
  </si>
  <si>
    <t xml:space="preserve">crossbody bag</t>
  </si>
  <si>
    <t xml:space="preserve">bucket bag</t>
  </si>
  <si>
    <t xml:space="preserve">mini bag</t>
  </si>
  <si>
    <t xml:space="preserve">hobo bag</t>
  </si>
  <si>
    <t xml:space="preserve">clutch bag</t>
  </si>
  <si>
    <t xml:space="preserve">belt bag</t>
  </si>
  <si>
    <t xml:space="preserve">backpack</t>
  </si>
  <si>
    <t xml:space="preserve">claw clip</t>
  </si>
  <si>
    <t xml:space="preserve">scrunchie</t>
  </si>
  <si>
    <t xml:space="preserve">headband</t>
  </si>
  <si>
    <t xml:space="preserve">bucket hat</t>
  </si>
  <si>
    <t xml:space="preserve">beanie</t>
  </si>
  <si>
    <t xml:space="preserve">baseball cap</t>
  </si>
  <si>
    <t xml:space="preserve">scarf</t>
  </si>
  <si>
    <t xml:space="preserve">oversized sunglasses</t>
  </si>
  <si>
    <t xml:space="preserve">aviator sunglasses</t>
  </si>
  <si>
    <t xml:space="preserve">hoop earrings</t>
  </si>
  <si>
    <t xml:space="preserve">layered necklace</t>
  </si>
  <si>
    <t xml:space="preserve">chunky necklace</t>
  </si>
  <si>
    <t xml:space="preserve">polka dot</t>
  </si>
  <si>
    <t xml:space="preserve">leopard print</t>
  </si>
  <si>
    <t xml:space="preserve">plaid</t>
  </si>
  <si>
    <t xml:space="preserve">gingham</t>
  </si>
  <si>
    <t xml:space="preserve">tie dye</t>
  </si>
  <si>
    <t xml:space="preserve">floral print</t>
  </si>
  <si>
    <t xml:space="preserve">sequin</t>
  </si>
  <si>
    <t xml:space="preserve">satin</t>
  </si>
  <si>
    <t xml:space="preserve">velvet</t>
  </si>
  <si>
    <t xml:space="preserve">linen</t>
  </si>
  <si>
    <t xml:space="preserve">lace</t>
  </si>
  <si>
    <t xml:space="preserve">sage green</t>
  </si>
  <si>
    <t xml:space="preserve">Color words are generic; check related queries or add 'dress' (e.g. 'sage green dress').</t>
  </si>
  <si>
    <t xml:space="preserve">burgundy</t>
  </si>
  <si>
    <t xml:space="preserve">lilac</t>
  </si>
  <si>
    <t xml:space="preserve">butter yellow</t>
  </si>
  <si>
    <t xml:space="preserve">chocolate brown</t>
  </si>
  <si>
    <t xml:space="preserve">cherry red</t>
  </si>
  <si>
    <t xml:space="preserve">baby blue</t>
  </si>
  <si>
    <t xml:space="preserve">olive green</t>
  </si>
  <si>
    <t xml:space="preserve">y2k fashion</t>
  </si>
  <si>
    <t xml:space="preserve">quiet luxury</t>
  </si>
  <si>
    <t xml:space="preserve">old money style</t>
  </si>
  <si>
    <t xml:space="preserve">coquette</t>
  </si>
  <si>
    <t xml:space="preserve">balletcore</t>
  </si>
  <si>
    <t xml:space="preserve">gorpcore</t>
  </si>
  <si>
    <t xml:space="preserve">cottagecore</t>
  </si>
  <si>
    <t xml:space="preserve">dark academia</t>
  </si>
  <si>
    <t xml:space="preserve">grunge</t>
  </si>
  <si>
    <t xml:space="preserve">boho style</t>
  </si>
  <si>
    <t xml:space="preserve">streetwear</t>
  </si>
  <si>
    <t xml:space="preserve">preppy style</t>
  </si>
  <si>
    <t xml:space="preserve">athleisure</t>
  </si>
  <si>
    <t xml:space="preserve">normcore</t>
  </si>
  <si>
    <t xml:space="preserve">clean girl aesthetic</t>
  </si>
  <si>
    <t xml:space="preserve">mob wife aesthetic</t>
  </si>
  <si>
    <t xml:space="preserve">capsule wardrobe</t>
  </si>
  <si>
    <t xml:space="preserve">Keyword 1</t>
  </si>
  <si>
    <t xml:space="preserve">Keyword 2</t>
  </si>
  <si>
    <t xml:space="preserve">Keyword 3</t>
  </si>
  <si>
    <t xml:space="preserve">Keyword 4</t>
  </si>
  <si>
    <t xml:space="preserve">Anchor term</t>
  </si>
  <si>
    <t xml:space="preserve">Query to paste (comma-separated)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</si>
</sst>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61.5" hidden="false" customHeight="true" outlineLevel="0" collapsed="false">
      <c r="A4" s="3" t="s">
        <v>2</v>
      </c>
      <c r="B4" s="4" t="s">
        <v>3</v>
      </c>
      <c r="C4" s="5" t="s">
        <v>4</v>
      </c>
      <c r="D4" s="5"/>
      <c r="E4" s="5"/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customFormat="false" ht="15" hidden="false" customHeight="false" outlineLevel="0" collapsed="false">
      <c r="A7" s="7" t="s">
        <v>10</v>
      </c>
      <c r="B7" s="8" t="n">
        <f aca="false">COUNTIF(Keywords!$C$2:$C$138,A7)</f>
        <v>14</v>
      </c>
      <c r="C7" s="8" t="n">
        <f aca="false">COUNTIFS(Keywords!$C$2:$C$138,A7,Keywords!$E$2:$E$138,"Medium")</f>
        <v>0</v>
      </c>
      <c r="D7" s="8" t="n">
        <f aca="false">COUNTIFS(Keywords!$C$2:$C$138,A7,Keywords!$G$2:$G$138,"Yes")</f>
        <v>0</v>
      </c>
      <c r="E7" s="8" t="n">
        <f aca="false">COUNTIFS(Keywords!$C$2:$C$138,A7,Keywords!$I$2:$I$138,"Yes")</f>
        <v>0</v>
      </c>
    </row>
    <row r="8" customFormat="false" ht="15" hidden="false" customHeight="false" outlineLevel="0" collapsed="false">
      <c r="A8" s="7" t="s">
        <v>11</v>
      </c>
      <c r="B8" s="8" t="n">
        <f aca="false">COUNTIF(Keywords!$C$2:$C$138,A8)</f>
        <v>15</v>
      </c>
      <c r="C8" s="8" t="n">
        <f aca="false">COUNTIFS(Keywords!$C$2:$C$138,A8,Keywords!$E$2:$E$138,"Medium")</f>
        <v>0</v>
      </c>
      <c r="D8" s="8" t="n">
        <f aca="false">COUNTIFS(Keywords!$C$2:$C$138,A8,Keywords!$G$2:$G$138,"Yes")</f>
        <v>0</v>
      </c>
      <c r="E8" s="8" t="n">
        <f aca="false">COUNTIFS(Keywords!$C$2:$C$138,A8,Keywords!$I$2:$I$138,"Yes")</f>
        <v>0</v>
      </c>
    </row>
    <row r="9" customFormat="false" ht="15" hidden="false" customHeight="false" outlineLevel="0" collapsed="false">
      <c r="A9" s="7" t="s">
        <v>12</v>
      </c>
      <c r="B9" s="8" t="n">
        <f aca="false">COUNTIF(Keywords!$C$2:$C$138,A9)</f>
        <v>12</v>
      </c>
      <c r="C9" s="8" t="n">
        <f aca="false">COUNTIFS(Keywords!$C$2:$C$138,A9,Keywords!$E$2:$E$138,"Medium")</f>
        <v>0</v>
      </c>
      <c r="D9" s="8" t="n">
        <f aca="false">COUNTIFS(Keywords!$C$2:$C$138,A9,Keywords!$G$2:$G$138,"Yes")</f>
        <v>0</v>
      </c>
      <c r="E9" s="8" t="n">
        <f aca="false">COUNTIFS(Keywords!$C$2:$C$138,A9,Keywords!$I$2:$I$138,"Yes")</f>
        <v>0</v>
      </c>
    </row>
    <row r="10" customFormat="false" ht="15" hidden="false" customHeight="false" outlineLevel="0" collapsed="false">
      <c r="A10" s="7" t="s">
        <v>13</v>
      </c>
      <c r="B10" s="8" t="n">
        <f aca="false">COUNTIF(Keywords!$C$2:$C$138,A10)</f>
        <v>14</v>
      </c>
      <c r="C10" s="8" t="n">
        <f aca="false">COUNTIFS(Keywords!$C$2:$C$138,A10,Keywords!$E$2:$E$138,"Medium")</f>
        <v>0</v>
      </c>
      <c r="D10" s="8" t="n">
        <f aca="false">COUNTIFS(Keywords!$C$2:$C$138,A10,Keywords!$G$2:$G$138,"Yes")</f>
        <v>0</v>
      </c>
      <c r="E10" s="8" t="n">
        <f aca="false">COUNTIFS(Keywords!$C$2:$C$138,A10,Keywords!$I$2:$I$138,"Yes")</f>
        <v>0</v>
      </c>
    </row>
    <row r="11" customFormat="false" ht="15" hidden="false" customHeight="false" outlineLevel="0" collapsed="false">
      <c r="A11" s="7" t="s">
        <v>14</v>
      </c>
      <c r="B11" s="8" t="n">
        <f aca="false">COUNTIF(Keywords!$C$2:$C$138,A11)</f>
        <v>10</v>
      </c>
      <c r="C11" s="8" t="n">
        <f aca="false">COUNTIFS(Keywords!$C$2:$C$138,A11,Keywords!$E$2:$E$138,"Medium")</f>
        <v>0</v>
      </c>
      <c r="D11" s="8" t="n">
        <f aca="false">COUNTIFS(Keywords!$C$2:$C$138,A11,Keywords!$G$2:$G$138,"Yes")</f>
        <v>0</v>
      </c>
      <c r="E11" s="8" t="n">
        <f aca="false">COUNTIFS(Keywords!$C$2:$C$138,A11,Keywords!$I$2:$I$138,"Yes")</f>
        <v>0</v>
      </c>
    </row>
    <row r="12" customFormat="false" ht="15" hidden="false" customHeight="false" outlineLevel="0" collapsed="false">
      <c r="A12" s="7" t="s">
        <v>15</v>
      </c>
      <c r="B12" s="8" t="n">
        <f aca="false">COUNTIF(Keywords!$C$2:$C$138,A12)</f>
        <v>14</v>
      </c>
      <c r="C12" s="8" t="n">
        <f aca="false">COUNTIFS(Keywords!$C$2:$C$138,A12,Keywords!$E$2:$E$138,"Medium")</f>
        <v>2</v>
      </c>
      <c r="D12" s="8" t="n">
        <f aca="false">COUNTIFS(Keywords!$C$2:$C$138,A12,Keywords!$G$2:$G$138,"Yes")</f>
        <v>0</v>
      </c>
      <c r="E12" s="8" t="n">
        <f aca="false">COUNTIFS(Keywords!$C$2:$C$138,A12,Keywords!$I$2:$I$138,"Yes")</f>
        <v>0</v>
      </c>
    </row>
    <row r="13" customFormat="false" ht="15" hidden="false" customHeight="false" outlineLevel="0" collapsed="false">
      <c r="A13" s="7" t="s">
        <v>16</v>
      </c>
      <c r="B13" s="8" t="n">
        <f aca="false">COUNTIF(Keywords!$C$2:$C$138,A13)</f>
        <v>10</v>
      </c>
      <c r="C13" s="8" t="n">
        <f aca="false">COUNTIFS(Keywords!$C$2:$C$138,A13,Keywords!$E$2:$E$138,"Medium")</f>
        <v>2</v>
      </c>
      <c r="D13" s="8" t="n">
        <f aca="false">COUNTIFS(Keywords!$C$2:$C$138,A13,Keywords!$G$2:$G$138,"Yes")</f>
        <v>0</v>
      </c>
      <c r="E13" s="8" t="n">
        <f aca="false">COUNTIFS(Keywords!$C$2:$C$138,A13,Keywords!$I$2:$I$138,"Yes")</f>
        <v>0</v>
      </c>
    </row>
    <row r="14" customFormat="false" ht="15" hidden="false" customHeight="false" outlineLevel="0" collapsed="false">
      <c r="A14" s="7" t="s">
        <v>17</v>
      </c>
      <c r="B14" s="8" t="n">
        <f aca="false">COUNTIF(Keywords!$C$2:$C$138,A14)</f>
        <v>12</v>
      </c>
      <c r="C14" s="8" t="n">
        <f aca="false">COUNTIFS(Keywords!$C$2:$C$138,A14,Keywords!$E$2:$E$138,"Medium")</f>
        <v>0</v>
      </c>
      <c r="D14" s="8" t="n">
        <f aca="false">COUNTIFS(Keywords!$C$2:$C$138,A14,Keywords!$G$2:$G$138,"Yes")</f>
        <v>0</v>
      </c>
      <c r="E14" s="8" t="n">
        <f aca="false">COUNTIFS(Keywords!$C$2:$C$138,A14,Keywords!$I$2:$I$138,"Yes")</f>
        <v>0</v>
      </c>
    </row>
    <row r="15" customFormat="false" ht="15" hidden="false" customHeight="false" outlineLevel="0" collapsed="false">
      <c r="A15" s="7" t="s">
        <v>18</v>
      </c>
      <c r="B15" s="8" t="n">
        <f aca="false">COUNTIF(Keywords!$C$2:$C$138,A15)</f>
        <v>11</v>
      </c>
      <c r="C15" s="8" t="n">
        <f aca="false">COUNTIFS(Keywords!$C$2:$C$138,A15,Keywords!$E$2:$E$138,"Medium")</f>
        <v>5</v>
      </c>
      <c r="D15" s="8" t="n">
        <f aca="false">COUNTIFS(Keywords!$C$2:$C$138,A15,Keywords!$G$2:$G$138,"Yes")</f>
        <v>0</v>
      </c>
      <c r="E15" s="8" t="n">
        <f aca="false">COUNTIFS(Keywords!$C$2:$C$138,A15,Keywords!$I$2:$I$138,"Yes")</f>
        <v>0</v>
      </c>
    </row>
    <row r="16" customFormat="false" ht="15" hidden="false" customHeight="false" outlineLevel="0" collapsed="false">
      <c r="A16" s="7" t="s">
        <v>19</v>
      </c>
      <c r="B16" s="8" t="n">
        <f aca="false">COUNTIF(Keywords!$C$2:$C$138,A16)</f>
        <v>8</v>
      </c>
      <c r="C16" s="8" t="n">
        <f aca="false">COUNTIFS(Keywords!$C$2:$C$138,A16,Keywords!$E$2:$E$138,"Medium")</f>
        <v>8</v>
      </c>
      <c r="D16" s="8" t="n">
        <f aca="false">COUNTIFS(Keywords!$C$2:$C$138,A16,Keywords!$G$2:$G$138,"Yes")</f>
        <v>0</v>
      </c>
      <c r="E16" s="8" t="n">
        <f aca="false">COUNTIFS(Keywords!$C$2:$C$138,A16,Keywords!$I$2:$I$138,"Yes")</f>
        <v>0</v>
      </c>
    </row>
    <row r="17" customFormat="false" ht="15" hidden="false" customHeight="false" outlineLevel="0" collapsed="false">
      <c r="A17" s="7" t="s">
        <v>20</v>
      </c>
      <c r="B17" s="8" t="n">
        <f aca="false">COUNTIF(Keywords!$C$2:$C$138,A17)</f>
        <v>17</v>
      </c>
      <c r="C17" s="8" t="n">
        <f aca="false">COUNTIFS(Keywords!$C$2:$C$138,A17,Keywords!$E$2:$E$138,"Medium")</f>
        <v>1</v>
      </c>
      <c r="D17" s="8" t="n">
        <f aca="false">COUNTIFS(Keywords!$C$2:$C$138,A17,Keywords!$G$2:$G$138,"Yes")</f>
        <v>0</v>
      </c>
      <c r="E17" s="8" t="n">
        <f aca="false">COUNTIFS(Keywords!$C$2:$C$138,A17,Keywords!$I$2:$I$138,"Yes")</f>
        <v>0</v>
      </c>
    </row>
    <row r="18" customFormat="false" ht="15" hidden="false" customHeight="false" outlineLevel="0" collapsed="false">
      <c r="A18" s="9" t="s">
        <v>21</v>
      </c>
      <c r="B18" s="10" t="n">
        <f aca="false">SUM(B7:B17)</f>
        <v>137</v>
      </c>
      <c r="C18" s="10" t="n">
        <f aca="false">SUM(C7:C17)</f>
        <v>18</v>
      </c>
      <c r="D18" s="10" t="n">
        <f aca="false">SUM(D7:D17)</f>
        <v>0</v>
      </c>
      <c r="E18" s="10" t="n">
        <f aca="false">SUM(E7:E17)</f>
        <v>0</v>
      </c>
    </row>
    <row r="19" customFormat="false" ht="15" hidden="false" customHeight="false" outlineLevel="0" collapsed="false">
      <c r="A19" s="3" t="s">
        <v>22</v>
      </c>
      <c r="B19" s="11" t="n">
        <f aca="false">ROUNDUP(B18/4,0)</f>
        <v>35</v>
      </c>
    </row>
    <row r="21" customFormat="false" ht="15" hidden="false" customHeight="false" outlineLevel="0" collapsed="false">
      <c r="A21" s="3" t="s">
        <v>23</v>
      </c>
    </row>
    <row r="22" customFormat="false" ht="30" hidden="false" customHeight="true" outlineLevel="0" collapsed="false">
      <c r="A22" s="12" t="s">
        <v>24</v>
      </c>
      <c r="B22" s="12"/>
      <c r="C22" s="12"/>
      <c r="D22" s="12"/>
      <c r="E22" s="12"/>
    </row>
    <row r="23" customFormat="false" ht="30" hidden="false" customHeight="true" outlineLevel="0" collapsed="false">
      <c r="A23" s="12" t="s">
        <v>25</v>
      </c>
      <c r="B23" s="12"/>
      <c r="C23" s="12"/>
      <c r="D23" s="12"/>
      <c r="E23" s="12"/>
    </row>
    <row r="24" customFormat="false" ht="30" hidden="false" customHeight="true" outlineLevel="0" collapsed="false">
      <c r="A24" s="12" t="s">
        <v>26</v>
      </c>
      <c r="B24" s="12"/>
      <c r="C24" s="12"/>
      <c r="D24" s="12"/>
      <c r="E24" s="12"/>
    </row>
    <row r="25" customFormat="false" ht="30" hidden="false" customHeight="true" outlineLevel="0" collapsed="false">
      <c r="A25" s="12" t="s">
        <v>27</v>
      </c>
      <c r="B25" s="12"/>
      <c r="C25" s="12"/>
      <c r="D25" s="12"/>
      <c r="E25" s="12"/>
    </row>
    <row r="26" customFormat="false" ht="30" hidden="false" customHeight="true" outlineLevel="0" collapsed="false">
      <c r="A26" s="12" t="s">
        <v>28</v>
      </c>
      <c r="B26" s="12"/>
      <c r="C26" s="12"/>
      <c r="D26" s="12"/>
      <c r="E26" s="12"/>
    </row>
    <row r="27" customFormat="false" ht="30" hidden="false" customHeight="true" outlineLevel="0" collapsed="false">
      <c r="A27" s="12" t="s">
        <v>29</v>
      </c>
      <c r="B27" s="12"/>
      <c r="C27" s="12"/>
      <c r="D27" s="12"/>
      <c r="E27" s="12"/>
    </row>
    <row r="28" customFormat="false" ht="30" hidden="false" customHeight="true" outlineLevel="0" collapsed="false">
      <c r="A28" s="12" t="s">
        <v>30</v>
      </c>
      <c r="B28" s="12"/>
      <c r="C28" s="12"/>
      <c r="D28" s="12"/>
      <c r="E28" s="12"/>
    </row>
  </sheetData>
  <mergeCells count="9">
    <mergeCell ref="A2:E2"/>
    <mergeCell ref="C4:E4"/>
    <mergeCell ref="A22:E22"/>
    <mergeCell ref="A23:E23"/>
    <mergeCell ref="A24:E24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60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3" t="s">
        <v>31</v>
      </c>
      <c r="B1" s="13" t="s">
        <v>32</v>
      </c>
      <c r="C1" s="13" t="s">
        <v>5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</row>
    <row r="2" customFormat="false" ht="15" hidden="false" customHeight="false" outlineLevel="0" collapsed="false">
      <c r="A2" s="8" t="n">
        <v>1</v>
      </c>
      <c r="B2" s="7" t="s">
        <v>39</v>
      </c>
      <c r="C2" s="7" t="s">
        <v>10</v>
      </c>
      <c r="D2" s="8" t="n">
        <f aca="false">INT((A2-1)/4)+1</f>
        <v>1</v>
      </c>
      <c r="E2" s="8" t="s">
        <v>40</v>
      </c>
      <c r="F2" s="14"/>
      <c r="G2" s="15"/>
      <c r="H2" s="16"/>
      <c r="I2" s="15"/>
    </row>
    <row r="3" customFormat="false" ht="15" hidden="false" customHeight="false" outlineLevel="0" collapsed="false">
      <c r="A3" s="8" t="n">
        <v>2</v>
      </c>
      <c r="B3" s="7" t="s">
        <v>41</v>
      </c>
      <c r="C3" s="7" t="s">
        <v>10</v>
      </c>
      <c r="D3" s="8" t="n">
        <f aca="false">INT((A3-1)/4)+1</f>
        <v>1</v>
      </c>
      <c r="E3" s="8" t="s">
        <v>40</v>
      </c>
      <c r="F3" s="14"/>
      <c r="G3" s="15"/>
      <c r="H3" s="16"/>
      <c r="I3" s="15"/>
    </row>
    <row r="4" customFormat="false" ht="15" hidden="false" customHeight="false" outlineLevel="0" collapsed="false">
      <c r="A4" s="8" t="n">
        <v>3</v>
      </c>
      <c r="B4" s="7" t="s">
        <v>42</v>
      </c>
      <c r="C4" s="7" t="s">
        <v>10</v>
      </c>
      <c r="D4" s="8" t="n">
        <f aca="false">INT((A4-1)/4)+1</f>
        <v>1</v>
      </c>
      <c r="E4" s="8" t="s">
        <v>40</v>
      </c>
      <c r="F4" s="14"/>
      <c r="G4" s="15"/>
      <c r="H4" s="16"/>
      <c r="I4" s="15"/>
    </row>
    <row r="5" customFormat="false" ht="15" hidden="false" customHeight="false" outlineLevel="0" collapsed="false">
      <c r="A5" s="8" t="n">
        <v>4</v>
      </c>
      <c r="B5" s="7" t="s">
        <v>43</v>
      </c>
      <c r="C5" s="7" t="s">
        <v>10</v>
      </c>
      <c r="D5" s="8" t="n">
        <f aca="false">INT((A5-1)/4)+1</f>
        <v>1</v>
      </c>
      <c r="E5" s="8" t="s">
        <v>40</v>
      </c>
      <c r="F5" s="14"/>
      <c r="G5" s="15"/>
      <c r="H5" s="16"/>
      <c r="I5" s="15"/>
    </row>
    <row r="6" customFormat="false" ht="15" hidden="false" customHeight="false" outlineLevel="0" collapsed="false">
      <c r="A6" s="8" t="n">
        <v>5</v>
      </c>
      <c r="B6" s="7" t="s">
        <v>44</v>
      </c>
      <c r="C6" s="7" t="s">
        <v>10</v>
      </c>
      <c r="D6" s="8" t="n">
        <f aca="false">INT((A6-1)/4)+1</f>
        <v>2</v>
      </c>
      <c r="E6" s="8" t="s">
        <v>40</v>
      </c>
      <c r="F6" s="14"/>
      <c r="G6" s="15"/>
      <c r="H6" s="16"/>
      <c r="I6" s="15"/>
    </row>
    <row r="7" customFormat="false" ht="15" hidden="false" customHeight="false" outlineLevel="0" collapsed="false">
      <c r="A7" s="8" t="n">
        <v>6</v>
      </c>
      <c r="B7" s="7" t="s">
        <v>45</v>
      </c>
      <c r="C7" s="7" t="s">
        <v>10</v>
      </c>
      <c r="D7" s="8" t="n">
        <f aca="false">INT((A7-1)/4)+1</f>
        <v>2</v>
      </c>
      <c r="E7" s="8" t="s">
        <v>40</v>
      </c>
      <c r="F7" s="14"/>
      <c r="G7" s="15"/>
      <c r="H7" s="16"/>
      <c r="I7" s="15"/>
    </row>
    <row r="8" customFormat="false" ht="15" hidden="false" customHeight="false" outlineLevel="0" collapsed="false">
      <c r="A8" s="8" t="n">
        <v>7</v>
      </c>
      <c r="B8" s="7" t="s">
        <v>46</v>
      </c>
      <c r="C8" s="7" t="s">
        <v>10</v>
      </c>
      <c r="D8" s="8" t="n">
        <f aca="false">INT((A8-1)/4)+1</f>
        <v>2</v>
      </c>
      <c r="E8" s="8" t="s">
        <v>40</v>
      </c>
      <c r="F8" s="14"/>
      <c r="G8" s="15"/>
      <c r="H8" s="16"/>
      <c r="I8" s="15"/>
    </row>
    <row r="9" customFormat="false" ht="15" hidden="false" customHeight="false" outlineLevel="0" collapsed="false">
      <c r="A9" s="8" t="n">
        <v>8</v>
      </c>
      <c r="B9" s="7" t="s">
        <v>47</v>
      </c>
      <c r="C9" s="7" t="s">
        <v>10</v>
      </c>
      <c r="D9" s="8" t="n">
        <f aca="false">INT((A9-1)/4)+1</f>
        <v>2</v>
      </c>
      <c r="E9" s="8" t="s">
        <v>40</v>
      </c>
      <c r="F9" s="14"/>
      <c r="G9" s="15"/>
      <c r="H9" s="16"/>
      <c r="I9" s="15"/>
    </row>
    <row r="10" customFormat="false" ht="15" hidden="false" customHeight="false" outlineLevel="0" collapsed="false">
      <c r="A10" s="8" t="n">
        <v>9</v>
      </c>
      <c r="B10" s="7" t="s">
        <v>48</v>
      </c>
      <c r="C10" s="7" t="s">
        <v>10</v>
      </c>
      <c r="D10" s="8" t="n">
        <f aca="false">INT((A10-1)/4)+1</f>
        <v>3</v>
      </c>
      <c r="E10" s="8" t="s">
        <v>40</v>
      </c>
      <c r="F10" s="14"/>
      <c r="G10" s="15"/>
      <c r="H10" s="16"/>
      <c r="I10" s="15"/>
    </row>
    <row r="11" customFormat="false" ht="15" hidden="false" customHeight="false" outlineLevel="0" collapsed="false">
      <c r="A11" s="8" t="n">
        <v>10</v>
      </c>
      <c r="B11" s="7" t="s">
        <v>49</v>
      </c>
      <c r="C11" s="7" t="s">
        <v>10</v>
      </c>
      <c r="D11" s="8" t="n">
        <f aca="false">INT((A11-1)/4)+1</f>
        <v>3</v>
      </c>
      <c r="E11" s="8" t="s">
        <v>40</v>
      </c>
      <c r="F11" s="14"/>
      <c r="G11" s="15"/>
      <c r="H11" s="16"/>
      <c r="I11" s="15"/>
    </row>
    <row r="12" customFormat="false" ht="15" hidden="false" customHeight="false" outlineLevel="0" collapsed="false">
      <c r="A12" s="8" t="n">
        <v>11</v>
      </c>
      <c r="B12" s="7" t="s">
        <v>50</v>
      </c>
      <c r="C12" s="7" t="s">
        <v>10</v>
      </c>
      <c r="D12" s="8" t="n">
        <f aca="false">INT((A12-1)/4)+1</f>
        <v>3</v>
      </c>
      <c r="E12" s="8" t="s">
        <v>40</v>
      </c>
      <c r="F12" s="14"/>
      <c r="G12" s="15"/>
      <c r="H12" s="16"/>
      <c r="I12" s="15"/>
    </row>
    <row r="13" customFormat="false" ht="15" hidden="false" customHeight="false" outlineLevel="0" collapsed="false">
      <c r="A13" s="8" t="n">
        <v>12</v>
      </c>
      <c r="B13" s="7" t="s">
        <v>51</v>
      </c>
      <c r="C13" s="7" t="s">
        <v>10</v>
      </c>
      <c r="D13" s="8" t="n">
        <f aca="false">INT((A13-1)/4)+1</f>
        <v>3</v>
      </c>
      <c r="E13" s="8" t="s">
        <v>40</v>
      </c>
      <c r="F13" s="14"/>
      <c r="G13" s="15"/>
      <c r="H13" s="16"/>
      <c r="I13" s="15"/>
    </row>
    <row r="14" customFormat="false" ht="15" hidden="false" customHeight="false" outlineLevel="0" collapsed="false">
      <c r="A14" s="8" t="n">
        <v>13</v>
      </c>
      <c r="B14" s="7" t="s">
        <v>52</v>
      </c>
      <c r="C14" s="7" t="s">
        <v>10</v>
      </c>
      <c r="D14" s="8" t="n">
        <f aca="false">INT((A14-1)/4)+1</f>
        <v>4</v>
      </c>
      <c r="E14" s="8" t="s">
        <v>40</v>
      </c>
      <c r="F14" s="14"/>
      <c r="G14" s="15"/>
      <c r="H14" s="16"/>
      <c r="I14" s="15"/>
    </row>
    <row r="15" customFormat="false" ht="15" hidden="false" customHeight="false" outlineLevel="0" collapsed="false">
      <c r="A15" s="8" t="n">
        <v>14</v>
      </c>
      <c r="B15" s="7" t="s">
        <v>53</v>
      </c>
      <c r="C15" s="7" t="s">
        <v>10</v>
      </c>
      <c r="D15" s="8" t="n">
        <f aca="false">INT((A15-1)/4)+1</f>
        <v>4</v>
      </c>
      <c r="E15" s="8" t="s">
        <v>40</v>
      </c>
      <c r="F15" s="14"/>
      <c r="G15" s="15"/>
      <c r="H15" s="16"/>
      <c r="I15" s="15"/>
    </row>
    <row r="16" customFormat="false" ht="15" hidden="false" customHeight="false" outlineLevel="0" collapsed="false">
      <c r="A16" s="8" t="n">
        <v>15</v>
      </c>
      <c r="B16" s="7" t="s">
        <v>54</v>
      </c>
      <c r="C16" s="7" t="s">
        <v>11</v>
      </c>
      <c r="D16" s="8" t="n">
        <f aca="false">INT((A16-1)/4)+1</f>
        <v>4</v>
      </c>
      <c r="E16" s="8" t="s">
        <v>40</v>
      </c>
      <c r="F16" s="14"/>
      <c r="G16" s="15"/>
      <c r="H16" s="16"/>
      <c r="I16" s="15"/>
    </row>
    <row r="17" customFormat="false" ht="15" hidden="false" customHeight="false" outlineLevel="0" collapsed="false">
      <c r="A17" s="8" t="n">
        <v>16</v>
      </c>
      <c r="B17" s="7" t="s">
        <v>55</v>
      </c>
      <c r="C17" s="7" t="s">
        <v>11</v>
      </c>
      <c r="D17" s="8" t="n">
        <f aca="false">INT((A17-1)/4)+1</f>
        <v>4</v>
      </c>
      <c r="E17" s="8" t="s">
        <v>40</v>
      </c>
      <c r="F17" s="14"/>
      <c r="G17" s="15"/>
      <c r="H17" s="16"/>
      <c r="I17" s="15"/>
    </row>
    <row r="18" customFormat="false" ht="15" hidden="false" customHeight="false" outlineLevel="0" collapsed="false">
      <c r="A18" s="8" t="n">
        <v>17</v>
      </c>
      <c r="B18" s="7" t="s">
        <v>56</v>
      </c>
      <c r="C18" s="7" t="s">
        <v>11</v>
      </c>
      <c r="D18" s="8" t="n">
        <f aca="false">INT((A18-1)/4)+1</f>
        <v>5</v>
      </c>
      <c r="E18" s="8" t="s">
        <v>40</v>
      </c>
      <c r="F18" s="14"/>
      <c r="G18" s="15"/>
      <c r="H18" s="16"/>
      <c r="I18" s="15"/>
    </row>
    <row r="19" customFormat="false" ht="15" hidden="false" customHeight="false" outlineLevel="0" collapsed="false">
      <c r="A19" s="8" t="n">
        <v>18</v>
      </c>
      <c r="B19" s="7" t="s">
        <v>3</v>
      </c>
      <c r="C19" s="7" t="s">
        <v>11</v>
      </c>
      <c r="D19" s="8" t="n">
        <f aca="false">INT((A19-1)/4)+1</f>
        <v>5</v>
      </c>
      <c r="E19" s="8" t="s">
        <v>40</v>
      </c>
      <c r="F19" s="14"/>
      <c r="G19" s="15"/>
      <c r="H19" s="16"/>
      <c r="I19" s="15"/>
    </row>
    <row r="20" customFormat="false" ht="15" hidden="false" customHeight="false" outlineLevel="0" collapsed="false">
      <c r="A20" s="8" t="n">
        <v>19</v>
      </c>
      <c r="B20" s="7" t="s">
        <v>57</v>
      </c>
      <c r="C20" s="7" t="s">
        <v>11</v>
      </c>
      <c r="D20" s="8" t="n">
        <f aca="false">INT((A20-1)/4)+1</f>
        <v>5</v>
      </c>
      <c r="E20" s="8" t="s">
        <v>40</v>
      </c>
      <c r="F20" s="14"/>
      <c r="G20" s="15"/>
      <c r="H20" s="16"/>
      <c r="I20" s="15"/>
    </row>
    <row r="21" customFormat="false" ht="15" hidden="false" customHeight="false" outlineLevel="0" collapsed="false">
      <c r="A21" s="8" t="n">
        <v>20</v>
      </c>
      <c r="B21" s="7" t="s">
        <v>58</v>
      </c>
      <c r="C21" s="7" t="s">
        <v>11</v>
      </c>
      <c r="D21" s="8" t="n">
        <f aca="false">INT((A21-1)/4)+1</f>
        <v>5</v>
      </c>
      <c r="E21" s="8" t="s">
        <v>40</v>
      </c>
      <c r="F21" s="14"/>
      <c r="G21" s="15"/>
      <c r="H21" s="16"/>
      <c r="I21" s="15"/>
    </row>
    <row r="22" customFormat="false" ht="15" hidden="false" customHeight="false" outlineLevel="0" collapsed="false">
      <c r="A22" s="8" t="n">
        <v>21</v>
      </c>
      <c r="B22" s="7" t="s">
        <v>59</v>
      </c>
      <c r="C22" s="7" t="s">
        <v>11</v>
      </c>
      <c r="D22" s="8" t="n">
        <f aca="false">INT((A22-1)/4)+1</f>
        <v>6</v>
      </c>
      <c r="E22" s="8" t="s">
        <v>40</v>
      </c>
      <c r="F22" s="14"/>
      <c r="G22" s="15"/>
      <c r="H22" s="16"/>
      <c r="I22" s="15"/>
    </row>
    <row r="23" customFormat="false" ht="15" hidden="false" customHeight="false" outlineLevel="0" collapsed="false">
      <c r="A23" s="8" t="n">
        <v>22</v>
      </c>
      <c r="B23" s="7" t="s">
        <v>60</v>
      </c>
      <c r="C23" s="7" t="s">
        <v>11</v>
      </c>
      <c r="D23" s="8" t="n">
        <f aca="false">INT((A23-1)/4)+1</f>
        <v>6</v>
      </c>
      <c r="E23" s="8" t="s">
        <v>40</v>
      </c>
      <c r="F23" s="14"/>
      <c r="G23" s="15"/>
      <c r="H23" s="16"/>
      <c r="I23" s="15"/>
    </row>
    <row r="24" customFormat="false" ht="15" hidden="false" customHeight="false" outlineLevel="0" collapsed="false">
      <c r="A24" s="8" t="n">
        <v>23</v>
      </c>
      <c r="B24" s="7" t="s">
        <v>61</v>
      </c>
      <c r="C24" s="7" t="s">
        <v>11</v>
      </c>
      <c r="D24" s="8" t="n">
        <f aca="false">INT((A24-1)/4)+1</f>
        <v>6</v>
      </c>
      <c r="E24" s="8" t="s">
        <v>40</v>
      </c>
      <c r="F24" s="14"/>
      <c r="G24" s="15"/>
      <c r="H24" s="16"/>
      <c r="I24" s="15"/>
    </row>
    <row r="25" customFormat="false" ht="15" hidden="false" customHeight="false" outlineLevel="0" collapsed="false">
      <c r="A25" s="8" t="n">
        <v>24</v>
      </c>
      <c r="B25" s="7" t="s">
        <v>62</v>
      </c>
      <c r="C25" s="7" t="s">
        <v>11</v>
      </c>
      <c r="D25" s="8" t="n">
        <f aca="false">INT((A25-1)/4)+1</f>
        <v>6</v>
      </c>
      <c r="E25" s="8" t="s">
        <v>40</v>
      </c>
      <c r="F25" s="14"/>
      <c r="G25" s="15"/>
      <c r="H25" s="16"/>
      <c r="I25" s="15"/>
    </row>
    <row r="26" customFormat="false" ht="15" hidden="false" customHeight="false" outlineLevel="0" collapsed="false">
      <c r="A26" s="8" t="n">
        <v>25</v>
      </c>
      <c r="B26" s="7" t="s">
        <v>63</v>
      </c>
      <c r="C26" s="7" t="s">
        <v>11</v>
      </c>
      <c r="D26" s="8" t="n">
        <f aca="false">INT((A26-1)/4)+1</f>
        <v>7</v>
      </c>
      <c r="E26" s="8" t="s">
        <v>40</v>
      </c>
      <c r="F26" s="14"/>
      <c r="G26" s="15"/>
      <c r="H26" s="16"/>
      <c r="I26" s="15"/>
    </row>
    <row r="27" customFormat="false" ht="15" hidden="false" customHeight="false" outlineLevel="0" collapsed="false">
      <c r="A27" s="8" t="n">
        <v>26</v>
      </c>
      <c r="B27" s="7" t="s">
        <v>64</v>
      </c>
      <c r="C27" s="7" t="s">
        <v>11</v>
      </c>
      <c r="D27" s="8" t="n">
        <f aca="false">INT((A27-1)/4)+1</f>
        <v>7</v>
      </c>
      <c r="E27" s="8" t="s">
        <v>40</v>
      </c>
      <c r="F27" s="14"/>
      <c r="G27" s="15"/>
      <c r="H27" s="16"/>
      <c r="I27" s="15"/>
    </row>
    <row r="28" customFormat="false" ht="15" hidden="false" customHeight="false" outlineLevel="0" collapsed="false">
      <c r="A28" s="8" t="n">
        <v>27</v>
      </c>
      <c r="B28" s="7" t="s">
        <v>65</v>
      </c>
      <c r="C28" s="7" t="s">
        <v>11</v>
      </c>
      <c r="D28" s="8" t="n">
        <f aca="false">INT((A28-1)/4)+1</f>
        <v>7</v>
      </c>
      <c r="E28" s="8" t="s">
        <v>40</v>
      </c>
      <c r="F28" s="14"/>
      <c r="G28" s="15"/>
      <c r="H28" s="16"/>
      <c r="I28" s="15"/>
    </row>
    <row r="29" customFormat="false" ht="15" hidden="false" customHeight="false" outlineLevel="0" collapsed="false">
      <c r="A29" s="8" t="n">
        <v>28</v>
      </c>
      <c r="B29" s="7" t="s">
        <v>66</v>
      </c>
      <c r="C29" s="7" t="s">
        <v>11</v>
      </c>
      <c r="D29" s="8" t="n">
        <f aca="false">INT((A29-1)/4)+1</f>
        <v>7</v>
      </c>
      <c r="E29" s="8" t="s">
        <v>40</v>
      </c>
      <c r="F29" s="14"/>
      <c r="G29" s="15"/>
      <c r="H29" s="16"/>
      <c r="I29" s="15"/>
    </row>
    <row r="30" customFormat="false" ht="15" hidden="false" customHeight="false" outlineLevel="0" collapsed="false">
      <c r="A30" s="8" t="n">
        <v>29</v>
      </c>
      <c r="B30" s="7" t="s">
        <v>67</v>
      </c>
      <c r="C30" s="7" t="s">
        <v>11</v>
      </c>
      <c r="D30" s="8" t="n">
        <f aca="false">INT((A30-1)/4)+1</f>
        <v>8</v>
      </c>
      <c r="E30" s="8" t="s">
        <v>40</v>
      </c>
      <c r="F30" s="14"/>
      <c r="G30" s="15"/>
      <c r="H30" s="16"/>
      <c r="I30" s="15"/>
    </row>
    <row r="31" customFormat="false" ht="15" hidden="false" customHeight="false" outlineLevel="0" collapsed="false">
      <c r="A31" s="8" t="n">
        <v>30</v>
      </c>
      <c r="B31" s="7" t="s">
        <v>68</v>
      </c>
      <c r="C31" s="7" t="s">
        <v>12</v>
      </c>
      <c r="D31" s="8" t="n">
        <f aca="false">INT((A31-1)/4)+1</f>
        <v>8</v>
      </c>
      <c r="E31" s="8" t="s">
        <v>40</v>
      </c>
      <c r="F31" s="14"/>
      <c r="G31" s="15"/>
      <c r="H31" s="16"/>
      <c r="I31" s="15"/>
    </row>
    <row r="32" customFormat="false" ht="15" hidden="false" customHeight="false" outlineLevel="0" collapsed="false">
      <c r="A32" s="8" t="n">
        <v>31</v>
      </c>
      <c r="B32" s="7" t="s">
        <v>69</v>
      </c>
      <c r="C32" s="7" t="s">
        <v>12</v>
      </c>
      <c r="D32" s="8" t="n">
        <f aca="false">INT((A32-1)/4)+1</f>
        <v>8</v>
      </c>
      <c r="E32" s="8" t="s">
        <v>40</v>
      </c>
      <c r="F32" s="14"/>
      <c r="G32" s="15"/>
      <c r="H32" s="16"/>
      <c r="I32" s="15"/>
    </row>
    <row r="33" customFormat="false" ht="15" hidden="false" customHeight="false" outlineLevel="0" collapsed="false">
      <c r="A33" s="8" t="n">
        <v>32</v>
      </c>
      <c r="B33" s="7" t="s">
        <v>70</v>
      </c>
      <c r="C33" s="7" t="s">
        <v>12</v>
      </c>
      <c r="D33" s="8" t="n">
        <f aca="false">INT((A33-1)/4)+1</f>
        <v>8</v>
      </c>
      <c r="E33" s="8" t="s">
        <v>40</v>
      </c>
      <c r="F33" s="14"/>
      <c r="G33" s="15"/>
      <c r="H33" s="16"/>
      <c r="I33" s="15"/>
    </row>
    <row r="34" customFormat="false" ht="15" hidden="false" customHeight="false" outlineLevel="0" collapsed="false">
      <c r="A34" s="8" t="n">
        <v>33</v>
      </c>
      <c r="B34" s="7" t="s">
        <v>71</v>
      </c>
      <c r="C34" s="7" t="s">
        <v>12</v>
      </c>
      <c r="D34" s="8" t="n">
        <f aca="false">INT((A34-1)/4)+1</f>
        <v>9</v>
      </c>
      <c r="E34" s="8" t="s">
        <v>40</v>
      </c>
      <c r="F34" s="14"/>
      <c r="G34" s="15"/>
      <c r="H34" s="16"/>
      <c r="I34" s="15"/>
    </row>
    <row r="35" customFormat="false" ht="15" hidden="false" customHeight="false" outlineLevel="0" collapsed="false">
      <c r="A35" s="8" t="n">
        <v>34</v>
      </c>
      <c r="B35" s="7" t="s">
        <v>72</v>
      </c>
      <c r="C35" s="7" t="s">
        <v>12</v>
      </c>
      <c r="D35" s="8" t="n">
        <f aca="false">INT((A35-1)/4)+1</f>
        <v>9</v>
      </c>
      <c r="E35" s="8" t="s">
        <v>40</v>
      </c>
      <c r="F35" s="14"/>
      <c r="G35" s="15"/>
      <c r="H35" s="16"/>
      <c r="I35" s="15"/>
    </row>
    <row r="36" customFormat="false" ht="15" hidden="false" customHeight="false" outlineLevel="0" collapsed="false">
      <c r="A36" s="8" t="n">
        <v>35</v>
      </c>
      <c r="B36" s="7" t="s">
        <v>73</v>
      </c>
      <c r="C36" s="7" t="s">
        <v>12</v>
      </c>
      <c r="D36" s="8" t="n">
        <f aca="false">INT((A36-1)/4)+1</f>
        <v>9</v>
      </c>
      <c r="E36" s="8" t="s">
        <v>40</v>
      </c>
      <c r="F36" s="14"/>
      <c r="G36" s="15"/>
      <c r="H36" s="16"/>
      <c r="I36" s="15"/>
    </row>
    <row r="37" customFormat="false" ht="15" hidden="false" customHeight="false" outlineLevel="0" collapsed="false">
      <c r="A37" s="8" t="n">
        <v>36</v>
      </c>
      <c r="B37" s="7" t="s">
        <v>74</v>
      </c>
      <c r="C37" s="7" t="s">
        <v>12</v>
      </c>
      <c r="D37" s="8" t="n">
        <f aca="false">INT((A37-1)/4)+1</f>
        <v>9</v>
      </c>
      <c r="E37" s="8" t="s">
        <v>40</v>
      </c>
      <c r="F37" s="14"/>
      <c r="G37" s="15"/>
      <c r="H37" s="16"/>
      <c r="I37" s="15"/>
    </row>
    <row r="38" customFormat="false" ht="15" hidden="false" customHeight="false" outlineLevel="0" collapsed="false">
      <c r="A38" s="8" t="n">
        <v>37</v>
      </c>
      <c r="B38" s="7" t="s">
        <v>75</v>
      </c>
      <c r="C38" s="7" t="s">
        <v>12</v>
      </c>
      <c r="D38" s="8" t="n">
        <f aca="false">INT((A38-1)/4)+1</f>
        <v>10</v>
      </c>
      <c r="E38" s="8" t="s">
        <v>40</v>
      </c>
      <c r="F38" s="14"/>
      <c r="G38" s="15"/>
      <c r="H38" s="16"/>
      <c r="I38" s="15"/>
    </row>
    <row r="39" customFormat="false" ht="15" hidden="false" customHeight="false" outlineLevel="0" collapsed="false">
      <c r="A39" s="8" t="n">
        <v>38</v>
      </c>
      <c r="B39" s="7" t="s">
        <v>76</v>
      </c>
      <c r="C39" s="7" t="s">
        <v>12</v>
      </c>
      <c r="D39" s="8" t="n">
        <f aca="false">INT((A39-1)/4)+1</f>
        <v>10</v>
      </c>
      <c r="E39" s="8" t="s">
        <v>40</v>
      </c>
      <c r="F39" s="14"/>
      <c r="G39" s="15"/>
      <c r="H39" s="16"/>
      <c r="I39" s="15"/>
    </row>
    <row r="40" customFormat="false" ht="15" hidden="false" customHeight="false" outlineLevel="0" collapsed="false">
      <c r="A40" s="8" t="n">
        <v>39</v>
      </c>
      <c r="B40" s="7" t="s">
        <v>77</v>
      </c>
      <c r="C40" s="7" t="s">
        <v>12</v>
      </c>
      <c r="D40" s="8" t="n">
        <f aca="false">INT((A40-1)/4)+1</f>
        <v>10</v>
      </c>
      <c r="E40" s="8" t="s">
        <v>40</v>
      </c>
      <c r="F40" s="14"/>
      <c r="G40" s="15"/>
      <c r="H40" s="16"/>
      <c r="I40" s="15"/>
    </row>
    <row r="41" customFormat="false" ht="15" hidden="false" customHeight="false" outlineLevel="0" collapsed="false">
      <c r="A41" s="8" t="n">
        <v>40</v>
      </c>
      <c r="B41" s="7" t="s">
        <v>78</v>
      </c>
      <c r="C41" s="7" t="s">
        <v>12</v>
      </c>
      <c r="D41" s="8" t="n">
        <f aca="false">INT((A41-1)/4)+1</f>
        <v>10</v>
      </c>
      <c r="E41" s="8" t="s">
        <v>40</v>
      </c>
      <c r="F41" s="14"/>
      <c r="G41" s="15"/>
      <c r="H41" s="16"/>
      <c r="I41" s="15"/>
    </row>
    <row r="42" customFormat="false" ht="15" hidden="false" customHeight="false" outlineLevel="0" collapsed="false">
      <c r="A42" s="8" t="n">
        <v>41</v>
      </c>
      <c r="B42" s="7" t="s">
        <v>79</v>
      </c>
      <c r="C42" s="7" t="s">
        <v>12</v>
      </c>
      <c r="D42" s="8" t="n">
        <f aca="false">INT((A42-1)/4)+1</f>
        <v>11</v>
      </c>
      <c r="E42" s="8" t="s">
        <v>40</v>
      </c>
      <c r="F42" s="14"/>
      <c r="G42" s="15"/>
      <c r="H42" s="16"/>
      <c r="I42" s="15"/>
    </row>
    <row r="43" customFormat="false" ht="15" hidden="false" customHeight="false" outlineLevel="0" collapsed="false">
      <c r="A43" s="8" t="n">
        <v>42</v>
      </c>
      <c r="B43" s="7" t="s">
        <v>80</v>
      </c>
      <c r="C43" s="7" t="s">
        <v>13</v>
      </c>
      <c r="D43" s="8" t="n">
        <f aca="false">INT((A43-1)/4)+1</f>
        <v>11</v>
      </c>
      <c r="E43" s="8" t="s">
        <v>40</v>
      </c>
      <c r="F43" s="14"/>
      <c r="G43" s="15"/>
      <c r="H43" s="16"/>
      <c r="I43" s="15"/>
    </row>
    <row r="44" customFormat="false" ht="15" hidden="false" customHeight="false" outlineLevel="0" collapsed="false">
      <c r="A44" s="8" t="n">
        <v>43</v>
      </c>
      <c r="B44" s="7" t="s">
        <v>81</v>
      </c>
      <c r="C44" s="7" t="s">
        <v>13</v>
      </c>
      <c r="D44" s="8" t="n">
        <f aca="false">INT((A44-1)/4)+1</f>
        <v>11</v>
      </c>
      <c r="E44" s="8" t="s">
        <v>40</v>
      </c>
      <c r="F44" s="14"/>
      <c r="G44" s="15"/>
      <c r="H44" s="16"/>
      <c r="I44" s="15"/>
    </row>
    <row r="45" customFormat="false" ht="15" hidden="false" customHeight="false" outlineLevel="0" collapsed="false">
      <c r="A45" s="8" t="n">
        <v>44</v>
      </c>
      <c r="B45" s="7" t="s">
        <v>82</v>
      </c>
      <c r="C45" s="7" t="s">
        <v>13</v>
      </c>
      <c r="D45" s="8" t="n">
        <f aca="false">INT((A45-1)/4)+1</f>
        <v>11</v>
      </c>
      <c r="E45" s="8" t="s">
        <v>40</v>
      </c>
      <c r="F45" s="14"/>
      <c r="G45" s="15"/>
      <c r="H45" s="16"/>
      <c r="I45" s="15"/>
    </row>
    <row r="46" customFormat="false" ht="15" hidden="false" customHeight="false" outlineLevel="0" collapsed="false">
      <c r="A46" s="8" t="n">
        <v>45</v>
      </c>
      <c r="B46" s="7" t="s">
        <v>83</v>
      </c>
      <c r="C46" s="7" t="s">
        <v>13</v>
      </c>
      <c r="D46" s="8" t="n">
        <f aca="false">INT((A46-1)/4)+1</f>
        <v>12</v>
      </c>
      <c r="E46" s="8" t="s">
        <v>40</v>
      </c>
      <c r="F46" s="14"/>
      <c r="G46" s="15"/>
      <c r="H46" s="16"/>
      <c r="I46" s="15"/>
    </row>
    <row r="47" customFormat="false" ht="15" hidden="false" customHeight="false" outlineLevel="0" collapsed="false">
      <c r="A47" s="8" t="n">
        <v>46</v>
      </c>
      <c r="B47" s="7" t="s">
        <v>84</v>
      </c>
      <c r="C47" s="7" t="s">
        <v>13</v>
      </c>
      <c r="D47" s="8" t="n">
        <f aca="false">INT((A47-1)/4)+1</f>
        <v>12</v>
      </c>
      <c r="E47" s="8" t="s">
        <v>40</v>
      </c>
      <c r="F47" s="14"/>
      <c r="G47" s="15"/>
      <c r="H47" s="16"/>
      <c r="I47" s="15"/>
    </row>
    <row r="48" customFormat="false" ht="15" hidden="false" customHeight="false" outlineLevel="0" collapsed="false">
      <c r="A48" s="8" t="n">
        <v>47</v>
      </c>
      <c r="B48" s="7" t="s">
        <v>85</v>
      </c>
      <c r="C48" s="7" t="s">
        <v>13</v>
      </c>
      <c r="D48" s="8" t="n">
        <f aca="false">INT((A48-1)/4)+1</f>
        <v>12</v>
      </c>
      <c r="E48" s="8" t="s">
        <v>40</v>
      </c>
      <c r="F48" s="14"/>
      <c r="G48" s="15"/>
      <c r="H48" s="16"/>
      <c r="I48" s="15"/>
    </row>
    <row r="49" customFormat="false" ht="15" hidden="false" customHeight="false" outlineLevel="0" collapsed="false">
      <c r="A49" s="8" t="n">
        <v>48</v>
      </c>
      <c r="B49" s="7" t="s">
        <v>86</v>
      </c>
      <c r="C49" s="7" t="s">
        <v>13</v>
      </c>
      <c r="D49" s="8" t="n">
        <f aca="false">INT((A49-1)/4)+1</f>
        <v>12</v>
      </c>
      <c r="E49" s="8" t="s">
        <v>40</v>
      </c>
      <c r="F49" s="14"/>
      <c r="G49" s="15"/>
      <c r="H49" s="16"/>
      <c r="I49" s="15"/>
    </row>
    <row r="50" customFormat="false" ht="15" hidden="false" customHeight="false" outlineLevel="0" collapsed="false">
      <c r="A50" s="8" t="n">
        <v>49</v>
      </c>
      <c r="B50" s="7" t="s">
        <v>87</v>
      </c>
      <c r="C50" s="7" t="s">
        <v>13</v>
      </c>
      <c r="D50" s="8" t="n">
        <f aca="false">INT((A50-1)/4)+1</f>
        <v>13</v>
      </c>
      <c r="E50" s="8" t="s">
        <v>40</v>
      </c>
      <c r="F50" s="14"/>
      <c r="G50" s="15"/>
      <c r="H50" s="16"/>
      <c r="I50" s="15"/>
    </row>
    <row r="51" customFormat="false" ht="15" hidden="false" customHeight="false" outlineLevel="0" collapsed="false">
      <c r="A51" s="8" t="n">
        <v>50</v>
      </c>
      <c r="B51" s="7" t="s">
        <v>88</v>
      </c>
      <c r="C51" s="7" t="s">
        <v>13</v>
      </c>
      <c r="D51" s="8" t="n">
        <f aca="false">INT((A51-1)/4)+1</f>
        <v>13</v>
      </c>
      <c r="E51" s="8" t="s">
        <v>40</v>
      </c>
      <c r="F51" s="14"/>
      <c r="G51" s="15"/>
      <c r="H51" s="16"/>
      <c r="I51" s="15"/>
    </row>
    <row r="52" customFormat="false" ht="15" hidden="false" customHeight="false" outlineLevel="0" collapsed="false">
      <c r="A52" s="8" t="n">
        <v>51</v>
      </c>
      <c r="B52" s="7" t="s">
        <v>89</v>
      </c>
      <c r="C52" s="7" t="s">
        <v>13</v>
      </c>
      <c r="D52" s="8" t="n">
        <f aca="false">INT((A52-1)/4)+1</f>
        <v>13</v>
      </c>
      <c r="E52" s="8" t="s">
        <v>40</v>
      </c>
      <c r="F52" s="14"/>
      <c r="G52" s="15"/>
      <c r="H52" s="16"/>
      <c r="I52" s="15"/>
    </row>
    <row r="53" customFormat="false" ht="15" hidden="false" customHeight="false" outlineLevel="0" collapsed="false">
      <c r="A53" s="8" t="n">
        <v>52</v>
      </c>
      <c r="B53" s="7" t="s">
        <v>90</v>
      </c>
      <c r="C53" s="7" t="s">
        <v>13</v>
      </c>
      <c r="D53" s="8" t="n">
        <f aca="false">INT((A53-1)/4)+1</f>
        <v>13</v>
      </c>
      <c r="E53" s="8" t="s">
        <v>40</v>
      </c>
      <c r="F53" s="14"/>
      <c r="G53" s="15"/>
      <c r="H53" s="16"/>
      <c r="I53" s="15"/>
    </row>
    <row r="54" customFormat="false" ht="15" hidden="false" customHeight="false" outlineLevel="0" collapsed="false">
      <c r="A54" s="8" t="n">
        <v>53</v>
      </c>
      <c r="B54" s="7" t="s">
        <v>91</v>
      </c>
      <c r="C54" s="7" t="s">
        <v>13</v>
      </c>
      <c r="D54" s="8" t="n">
        <f aca="false">INT((A54-1)/4)+1</f>
        <v>14</v>
      </c>
      <c r="E54" s="8" t="s">
        <v>40</v>
      </c>
      <c r="F54" s="14"/>
      <c r="G54" s="15"/>
      <c r="H54" s="16"/>
      <c r="I54" s="15"/>
    </row>
    <row r="55" customFormat="false" ht="15" hidden="false" customHeight="false" outlineLevel="0" collapsed="false">
      <c r="A55" s="8" t="n">
        <v>54</v>
      </c>
      <c r="B55" s="7" t="s">
        <v>92</v>
      </c>
      <c r="C55" s="7" t="s">
        <v>13</v>
      </c>
      <c r="D55" s="8" t="n">
        <f aca="false">INT((A55-1)/4)+1</f>
        <v>14</v>
      </c>
      <c r="E55" s="8" t="s">
        <v>40</v>
      </c>
      <c r="F55" s="14"/>
      <c r="G55" s="15"/>
      <c r="H55" s="16"/>
      <c r="I55" s="15"/>
    </row>
    <row r="56" customFormat="false" ht="15" hidden="false" customHeight="false" outlineLevel="0" collapsed="false">
      <c r="A56" s="8" t="n">
        <v>55</v>
      </c>
      <c r="B56" s="7" t="s">
        <v>93</v>
      </c>
      <c r="C56" s="7" t="s">
        <v>13</v>
      </c>
      <c r="D56" s="8" t="n">
        <f aca="false">INT((A56-1)/4)+1</f>
        <v>14</v>
      </c>
      <c r="E56" s="8" t="s">
        <v>40</v>
      </c>
      <c r="F56" s="14"/>
      <c r="G56" s="15"/>
      <c r="H56" s="16"/>
      <c r="I56" s="15"/>
    </row>
    <row r="57" customFormat="false" ht="15" hidden="false" customHeight="false" outlineLevel="0" collapsed="false">
      <c r="A57" s="8" t="n">
        <v>56</v>
      </c>
      <c r="B57" s="7" t="s">
        <v>94</v>
      </c>
      <c r="C57" s="7" t="s">
        <v>14</v>
      </c>
      <c r="D57" s="8" t="n">
        <f aca="false">INT((A57-1)/4)+1</f>
        <v>14</v>
      </c>
      <c r="E57" s="8" t="s">
        <v>40</v>
      </c>
      <c r="F57" s="14"/>
      <c r="G57" s="15"/>
      <c r="H57" s="16"/>
      <c r="I57" s="15"/>
    </row>
    <row r="58" customFormat="false" ht="15" hidden="false" customHeight="false" outlineLevel="0" collapsed="false">
      <c r="A58" s="8" t="n">
        <v>57</v>
      </c>
      <c r="B58" s="7" t="s">
        <v>95</v>
      </c>
      <c r="C58" s="7" t="s">
        <v>14</v>
      </c>
      <c r="D58" s="8" t="n">
        <f aca="false">INT((A58-1)/4)+1</f>
        <v>15</v>
      </c>
      <c r="E58" s="8" t="s">
        <v>40</v>
      </c>
      <c r="F58" s="14"/>
      <c r="G58" s="15"/>
      <c r="H58" s="16"/>
      <c r="I58" s="15"/>
    </row>
    <row r="59" customFormat="false" ht="15" hidden="false" customHeight="false" outlineLevel="0" collapsed="false">
      <c r="A59" s="8" t="n">
        <v>58</v>
      </c>
      <c r="B59" s="7" t="s">
        <v>96</v>
      </c>
      <c r="C59" s="7" t="s">
        <v>14</v>
      </c>
      <c r="D59" s="8" t="n">
        <f aca="false">INT((A59-1)/4)+1</f>
        <v>15</v>
      </c>
      <c r="E59" s="8" t="s">
        <v>40</v>
      </c>
      <c r="F59" s="14"/>
      <c r="G59" s="15"/>
      <c r="H59" s="16"/>
      <c r="I59" s="15"/>
    </row>
    <row r="60" customFormat="false" ht="15" hidden="false" customHeight="false" outlineLevel="0" collapsed="false">
      <c r="A60" s="8" t="n">
        <v>59</v>
      </c>
      <c r="B60" s="7" t="s">
        <v>97</v>
      </c>
      <c r="C60" s="7" t="s">
        <v>14</v>
      </c>
      <c r="D60" s="8" t="n">
        <f aca="false">INT((A60-1)/4)+1</f>
        <v>15</v>
      </c>
      <c r="E60" s="8" t="s">
        <v>40</v>
      </c>
      <c r="F60" s="14"/>
      <c r="G60" s="15"/>
      <c r="H60" s="16"/>
      <c r="I60" s="15"/>
    </row>
    <row r="61" customFormat="false" ht="15" hidden="false" customHeight="false" outlineLevel="0" collapsed="false">
      <c r="A61" s="8" t="n">
        <v>60</v>
      </c>
      <c r="B61" s="7" t="s">
        <v>98</v>
      </c>
      <c r="C61" s="7" t="s">
        <v>14</v>
      </c>
      <c r="D61" s="8" t="n">
        <f aca="false">INT((A61-1)/4)+1</f>
        <v>15</v>
      </c>
      <c r="E61" s="8" t="s">
        <v>40</v>
      </c>
      <c r="F61" s="14"/>
      <c r="G61" s="15"/>
      <c r="H61" s="16"/>
      <c r="I61" s="15"/>
    </row>
    <row r="62" customFormat="false" ht="15" hidden="false" customHeight="false" outlineLevel="0" collapsed="false">
      <c r="A62" s="8" t="n">
        <v>61</v>
      </c>
      <c r="B62" s="7" t="s">
        <v>99</v>
      </c>
      <c r="C62" s="7" t="s">
        <v>14</v>
      </c>
      <c r="D62" s="8" t="n">
        <f aca="false">INT((A62-1)/4)+1</f>
        <v>16</v>
      </c>
      <c r="E62" s="8" t="s">
        <v>40</v>
      </c>
      <c r="F62" s="14"/>
      <c r="G62" s="15"/>
      <c r="H62" s="16"/>
      <c r="I62" s="15"/>
    </row>
    <row r="63" customFormat="false" ht="15" hidden="false" customHeight="false" outlineLevel="0" collapsed="false">
      <c r="A63" s="8" t="n">
        <v>62</v>
      </c>
      <c r="B63" s="7" t="s">
        <v>100</v>
      </c>
      <c r="C63" s="7" t="s">
        <v>14</v>
      </c>
      <c r="D63" s="8" t="n">
        <f aca="false">INT((A63-1)/4)+1</f>
        <v>16</v>
      </c>
      <c r="E63" s="8" t="s">
        <v>40</v>
      </c>
      <c r="F63" s="14"/>
      <c r="G63" s="15"/>
      <c r="H63" s="16"/>
      <c r="I63" s="15"/>
    </row>
    <row r="64" customFormat="false" ht="15" hidden="false" customHeight="false" outlineLevel="0" collapsed="false">
      <c r="A64" s="8" t="n">
        <v>63</v>
      </c>
      <c r="B64" s="7" t="s">
        <v>101</v>
      </c>
      <c r="C64" s="7" t="s">
        <v>14</v>
      </c>
      <c r="D64" s="8" t="n">
        <f aca="false">INT((A64-1)/4)+1</f>
        <v>16</v>
      </c>
      <c r="E64" s="8" t="s">
        <v>40</v>
      </c>
      <c r="F64" s="14"/>
      <c r="G64" s="15"/>
      <c r="H64" s="16"/>
      <c r="I64" s="15"/>
    </row>
    <row r="65" customFormat="false" ht="15" hidden="false" customHeight="false" outlineLevel="0" collapsed="false">
      <c r="A65" s="8" t="n">
        <v>64</v>
      </c>
      <c r="B65" s="7" t="s">
        <v>102</v>
      </c>
      <c r="C65" s="7" t="s">
        <v>14</v>
      </c>
      <c r="D65" s="8" t="n">
        <f aca="false">INT((A65-1)/4)+1</f>
        <v>16</v>
      </c>
      <c r="E65" s="8" t="s">
        <v>40</v>
      </c>
      <c r="F65" s="14"/>
      <c r="G65" s="15"/>
      <c r="H65" s="16"/>
      <c r="I65" s="15"/>
    </row>
    <row r="66" customFormat="false" ht="15" hidden="false" customHeight="false" outlineLevel="0" collapsed="false">
      <c r="A66" s="8" t="n">
        <v>65</v>
      </c>
      <c r="B66" s="7" t="s">
        <v>103</v>
      </c>
      <c r="C66" s="7" t="s">
        <v>14</v>
      </c>
      <c r="D66" s="8" t="n">
        <f aca="false">INT((A66-1)/4)+1</f>
        <v>17</v>
      </c>
      <c r="E66" s="8" t="s">
        <v>40</v>
      </c>
      <c r="F66" s="14"/>
      <c r="G66" s="15"/>
      <c r="H66" s="16"/>
      <c r="I66" s="15"/>
    </row>
    <row r="67" customFormat="false" ht="15" hidden="false" customHeight="false" outlineLevel="0" collapsed="false">
      <c r="A67" s="8" t="n">
        <v>66</v>
      </c>
      <c r="B67" s="7" t="s">
        <v>104</v>
      </c>
      <c r="C67" s="7" t="s">
        <v>15</v>
      </c>
      <c r="D67" s="8" t="n">
        <f aca="false">INT((A67-1)/4)+1</f>
        <v>17</v>
      </c>
      <c r="E67" s="8" t="s">
        <v>40</v>
      </c>
      <c r="F67" s="14"/>
      <c r="G67" s="15"/>
      <c r="H67" s="16"/>
      <c r="I67" s="15"/>
    </row>
    <row r="68" customFormat="false" ht="15" hidden="false" customHeight="false" outlineLevel="0" collapsed="false">
      <c r="A68" s="8" t="n">
        <v>67</v>
      </c>
      <c r="B68" s="7" t="s">
        <v>105</v>
      </c>
      <c r="C68" s="7" t="s">
        <v>15</v>
      </c>
      <c r="D68" s="8" t="n">
        <f aca="false">INT((A68-1)/4)+1</f>
        <v>17</v>
      </c>
      <c r="E68" s="8" t="s">
        <v>40</v>
      </c>
      <c r="F68" s="14"/>
      <c r="G68" s="15"/>
      <c r="H68" s="16"/>
      <c r="I68" s="15"/>
    </row>
    <row r="69" customFormat="false" ht="15" hidden="false" customHeight="false" outlineLevel="0" collapsed="false">
      <c r="A69" s="8" t="n">
        <v>68</v>
      </c>
      <c r="B69" s="7" t="s">
        <v>106</v>
      </c>
      <c r="C69" s="7" t="s">
        <v>15</v>
      </c>
      <c r="D69" s="8" t="n">
        <f aca="false">INT((A69-1)/4)+1</f>
        <v>17</v>
      </c>
      <c r="E69" s="8" t="s">
        <v>40</v>
      </c>
      <c r="F69" s="14"/>
      <c r="G69" s="15"/>
      <c r="H69" s="16"/>
      <c r="I69" s="15"/>
    </row>
    <row r="70" customFormat="false" ht="15" hidden="false" customHeight="false" outlineLevel="0" collapsed="false">
      <c r="A70" s="8" t="n">
        <v>69</v>
      </c>
      <c r="B70" s="7" t="s">
        <v>107</v>
      </c>
      <c r="C70" s="7" t="s">
        <v>15</v>
      </c>
      <c r="D70" s="8" t="n">
        <f aca="false">INT((A70-1)/4)+1</f>
        <v>18</v>
      </c>
      <c r="E70" s="8" t="s">
        <v>40</v>
      </c>
      <c r="F70" s="14"/>
      <c r="G70" s="15"/>
      <c r="H70" s="16"/>
      <c r="I70" s="15"/>
    </row>
    <row r="71" customFormat="false" ht="15" hidden="false" customHeight="false" outlineLevel="0" collapsed="false">
      <c r="A71" s="8" t="n">
        <v>70</v>
      </c>
      <c r="B71" s="7" t="s">
        <v>108</v>
      </c>
      <c r="C71" s="7" t="s">
        <v>15</v>
      </c>
      <c r="D71" s="8" t="n">
        <f aca="false">INT((A71-1)/4)+1</f>
        <v>18</v>
      </c>
      <c r="E71" s="8" t="s">
        <v>40</v>
      </c>
      <c r="F71" s="14"/>
      <c r="G71" s="15"/>
      <c r="H71" s="16"/>
      <c r="I71" s="15"/>
    </row>
    <row r="72" customFormat="false" ht="15" hidden="false" customHeight="false" outlineLevel="0" collapsed="false">
      <c r="A72" s="8" t="n">
        <v>71</v>
      </c>
      <c r="B72" s="7" t="s">
        <v>109</v>
      </c>
      <c r="C72" s="7" t="s">
        <v>15</v>
      </c>
      <c r="D72" s="8" t="n">
        <f aca="false">INT((A72-1)/4)+1</f>
        <v>18</v>
      </c>
      <c r="E72" s="8" t="s">
        <v>40</v>
      </c>
      <c r="F72" s="14"/>
      <c r="G72" s="15"/>
      <c r="H72" s="16"/>
      <c r="I72" s="15"/>
    </row>
    <row r="73" customFormat="false" ht="15" hidden="false" customHeight="false" outlineLevel="0" collapsed="false">
      <c r="A73" s="8" t="n">
        <v>72</v>
      </c>
      <c r="B73" s="7" t="s">
        <v>110</v>
      </c>
      <c r="C73" s="7" t="s">
        <v>15</v>
      </c>
      <c r="D73" s="8" t="n">
        <f aca="false">INT((A73-1)/4)+1</f>
        <v>18</v>
      </c>
      <c r="E73" s="8" t="s">
        <v>40</v>
      </c>
      <c r="F73" s="14"/>
      <c r="G73" s="15"/>
      <c r="H73" s="16"/>
      <c r="I73" s="15"/>
    </row>
    <row r="74" customFormat="false" ht="15" hidden="false" customHeight="false" outlineLevel="0" collapsed="false">
      <c r="A74" s="8" t="n">
        <v>73</v>
      </c>
      <c r="B74" s="7" t="s">
        <v>111</v>
      </c>
      <c r="C74" s="7" t="s">
        <v>15</v>
      </c>
      <c r="D74" s="8" t="n">
        <f aca="false">INT((A74-1)/4)+1</f>
        <v>19</v>
      </c>
      <c r="E74" s="8" t="s">
        <v>40</v>
      </c>
      <c r="F74" s="14"/>
      <c r="G74" s="15"/>
      <c r="H74" s="16"/>
      <c r="I74" s="15"/>
    </row>
    <row r="75" customFormat="false" ht="15" hidden="false" customHeight="false" outlineLevel="0" collapsed="false">
      <c r="A75" s="8" t="n">
        <v>74</v>
      </c>
      <c r="B75" s="7" t="s">
        <v>112</v>
      </c>
      <c r="C75" s="7" t="s">
        <v>15</v>
      </c>
      <c r="D75" s="8" t="n">
        <f aca="false">INT((A75-1)/4)+1</f>
        <v>19</v>
      </c>
      <c r="E75" s="8" t="s">
        <v>40</v>
      </c>
      <c r="F75" s="14"/>
      <c r="G75" s="15"/>
      <c r="H75" s="16"/>
      <c r="I75" s="15"/>
    </row>
    <row r="76" customFormat="false" ht="15" hidden="false" customHeight="false" outlineLevel="0" collapsed="false">
      <c r="A76" s="8" t="n">
        <v>75</v>
      </c>
      <c r="B76" s="7" t="s">
        <v>113</v>
      </c>
      <c r="C76" s="7" t="s">
        <v>15</v>
      </c>
      <c r="D76" s="8" t="n">
        <f aca="false">INT((A76-1)/4)+1</f>
        <v>19</v>
      </c>
      <c r="E76" s="8" t="s">
        <v>40</v>
      </c>
      <c r="F76" s="14"/>
      <c r="G76" s="15"/>
      <c r="H76" s="16"/>
      <c r="I76" s="15"/>
    </row>
    <row r="77" customFormat="false" ht="15" hidden="false" customHeight="false" outlineLevel="0" collapsed="false">
      <c r="A77" s="8" t="n">
        <v>76</v>
      </c>
      <c r="B77" s="7" t="s">
        <v>114</v>
      </c>
      <c r="C77" s="7" t="s">
        <v>15</v>
      </c>
      <c r="D77" s="8" t="n">
        <f aca="false">INT((A77-1)/4)+1</f>
        <v>19</v>
      </c>
      <c r="E77" s="8" t="s">
        <v>40</v>
      </c>
      <c r="F77" s="14"/>
      <c r="G77" s="15"/>
      <c r="H77" s="16"/>
      <c r="I77" s="15"/>
    </row>
    <row r="78" customFormat="false" ht="15" hidden="false" customHeight="false" outlineLevel="0" collapsed="false">
      <c r="A78" s="8" t="n">
        <v>77</v>
      </c>
      <c r="B78" s="7" t="s">
        <v>115</v>
      </c>
      <c r="C78" s="7" t="s">
        <v>15</v>
      </c>
      <c r="D78" s="8" t="n">
        <f aca="false">INT((A78-1)/4)+1</f>
        <v>20</v>
      </c>
      <c r="E78" s="8" t="s">
        <v>40</v>
      </c>
      <c r="F78" s="14"/>
      <c r="G78" s="15"/>
      <c r="H78" s="16"/>
      <c r="I78" s="15"/>
    </row>
    <row r="79" customFormat="false" ht="15" hidden="false" customHeight="false" outlineLevel="0" collapsed="false">
      <c r="A79" s="8" t="n">
        <v>78</v>
      </c>
      <c r="B79" s="7" t="s">
        <v>116</v>
      </c>
      <c r="C79" s="7" t="s">
        <v>15</v>
      </c>
      <c r="D79" s="8" t="n">
        <f aca="false">INT((A79-1)/4)+1</f>
        <v>20</v>
      </c>
      <c r="E79" s="8" t="s">
        <v>117</v>
      </c>
      <c r="F79" s="14" t="s">
        <v>118</v>
      </c>
      <c r="G79" s="15"/>
      <c r="H79" s="16"/>
      <c r="I79" s="15"/>
    </row>
    <row r="80" customFormat="false" ht="15" hidden="false" customHeight="false" outlineLevel="0" collapsed="false">
      <c r="A80" s="8" t="n">
        <v>79</v>
      </c>
      <c r="B80" s="7" t="s">
        <v>119</v>
      </c>
      <c r="C80" s="7" t="s">
        <v>15</v>
      </c>
      <c r="D80" s="8" t="n">
        <f aca="false">INT((A80-1)/4)+1</f>
        <v>20</v>
      </c>
      <c r="E80" s="8" t="s">
        <v>117</v>
      </c>
      <c r="F80" s="14" t="s">
        <v>118</v>
      </c>
      <c r="G80" s="15"/>
      <c r="H80" s="16"/>
      <c r="I80" s="15"/>
    </row>
    <row r="81" customFormat="false" ht="15" hidden="false" customHeight="false" outlineLevel="0" collapsed="false">
      <c r="A81" s="8" t="n">
        <v>80</v>
      </c>
      <c r="B81" s="7" t="s">
        <v>120</v>
      </c>
      <c r="C81" s="7" t="s">
        <v>16</v>
      </c>
      <c r="D81" s="8" t="n">
        <f aca="false">INT((A81-1)/4)+1</f>
        <v>20</v>
      </c>
      <c r="E81" s="8" t="s">
        <v>40</v>
      </c>
      <c r="F81" s="14"/>
      <c r="G81" s="15"/>
      <c r="H81" s="16"/>
      <c r="I81" s="15"/>
    </row>
    <row r="82" customFormat="false" ht="15" hidden="false" customHeight="false" outlineLevel="0" collapsed="false">
      <c r="A82" s="8" t="n">
        <v>81</v>
      </c>
      <c r="B82" s="7" t="s">
        <v>121</v>
      </c>
      <c r="C82" s="7" t="s">
        <v>16</v>
      </c>
      <c r="D82" s="8" t="n">
        <f aca="false">INT((A82-1)/4)+1</f>
        <v>21</v>
      </c>
      <c r="E82" s="8" t="s">
        <v>40</v>
      </c>
      <c r="F82" s="14"/>
      <c r="G82" s="15"/>
      <c r="H82" s="16"/>
      <c r="I82" s="15"/>
    </row>
    <row r="83" customFormat="false" ht="15" hidden="false" customHeight="false" outlineLevel="0" collapsed="false">
      <c r="A83" s="8" t="n">
        <v>82</v>
      </c>
      <c r="B83" s="7" t="s">
        <v>122</v>
      </c>
      <c r="C83" s="7" t="s">
        <v>16</v>
      </c>
      <c r="D83" s="8" t="n">
        <f aca="false">INT((A83-1)/4)+1</f>
        <v>21</v>
      </c>
      <c r="E83" s="8" t="s">
        <v>40</v>
      </c>
      <c r="F83" s="14"/>
      <c r="G83" s="15"/>
      <c r="H83" s="16"/>
      <c r="I83" s="15"/>
    </row>
    <row r="84" customFormat="false" ht="15" hidden="false" customHeight="false" outlineLevel="0" collapsed="false">
      <c r="A84" s="8" t="n">
        <v>83</v>
      </c>
      <c r="B84" s="7" t="s">
        <v>123</v>
      </c>
      <c r="C84" s="7" t="s">
        <v>16</v>
      </c>
      <c r="D84" s="8" t="n">
        <f aca="false">INT((A84-1)/4)+1</f>
        <v>21</v>
      </c>
      <c r="E84" s="8" t="s">
        <v>40</v>
      </c>
      <c r="F84" s="14"/>
      <c r="G84" s="15"/>
      <c r="H84" s="16"/>
      <c r="I84" s="15"/>
    </row>
    <row r="85" customFormat="false" ht="15" hidden="false" customHeight="false" outlineLevel="0" collapsed="false">
      <c r="A85" s="8" t="n">
        <v>84</v>
      </c>
      <c r="B85" s="7" t="s">
        <v>124</v>
      </c>
      <c r="C85" s="7" t="s">
        <v>16</v>
      </c>
      <c r="D85" s="8" t="n">
        <f aca="false">INT((A85-1)/4)+1</f>
        <v>21</v>
      </c>
      <c r="E85" s="8" t="s">
        <v>40</v>
      </c>
      <c r="F85" s="14"/>
      <c r="G85" s="15"/>
      <c r="H85" s="16"/>
      <c r="I85" s="15"/>
    </row>
    <row r="86" customFormat="false" ht="15" hidden="false" customHeight="false" outlineLevel="0" collapsed="false">
      <c r="A86" s="8" t="n">
        <v>85</v>
      </c>
      <c r="B86" s="7" t="s">
        <v>125</v>
      </c>
      <c r="C86" s="7" t="s">
        <v>16</v>
      </c>
      <c r="D86" s="8" t="n">
        <f aca="false">INT((A86-1)/4)+1</f>
        <v>22</v>
      </c>
      <c r="E86" s="8" t="s">
        <v>40</v>
      </c>
      <c r="F86" s="14"/>
      <c r="G86" s="15"/>
      <c r="H86" s="16"/>
      <c r="I86" s="15"/>
    </row>
    <row r="87" customFormat="false" ht="15" hidden="false" customHeight="false" outlineLevel="0" collapsed="false">
      <c r="A87" s="8" t="n">
        <v>86</v>
      </c>
      <c r="B87" s="7" t="s">
        <v>126</v>
      </c>
      <c r="C87" s="7" t="s">
        <v>16</v>
      </c>
      <c r="D87" s="8" t="n">
        <f aca="false">INT((A87-1)/4)+1</f>
        <v>22</v>
      </c>
      <c r="E87" s="8" t="s">
        <v>40</v>
      </c>
      <c r="F87" s="14"/>
      <c r="G87" s="15"/>
      <c r="H87" s="16"/>
      <c r="I87" s="15"/>
    </row>
    <row r="88" customFormat="false" ht="15" hidden="false" customHeight="false" outlineLevel="0" collapsed="false">
      <c r="A88" s="8" t="n">
        <v>87</v>
      </c>
      <c r="B88" s="7" t="s">
        <v>127</v>
      </c>
      <c r="C88" s="7" t="s">
        <v>16</v>
      </c>
      <c r="D88" s="8" t="n">
        <f aca="false">INT((A88-1)/4)+1</f>
        <v>22</v>
      </c>
      <c r="E88" s="8" t="s">
        <v>117</v>
      </c>
      <c r="F88" s="14" t="s">
        <v>118</v>
      </c>
      <c r="G88" s="15"/>
      <c r="H88" s="16"/>
      <c r="I88" s="15"/>
    </row>
    <row r="89" customFormat="false" ht="15" hidden="false" customHeight="false" outlineLevel="0" collapsed="false">
      <c r="A89" s="8" t="n">
        <v>88</v>
      </c>
      <c r="B89" s="7" t="s">
        <v>128</v>
      </c>
      <c r="C89" s="7" t="s">
        <v>16</v>
      </c>
      <c r="D89" s="8" t="n">
        <f aca="false">INT((A89-1)/4)+1</f>
        <v>22</v>
      </c>
      <c r="E89" s="8" t="s">
        <v>40</v>
      </c>
      <c r="F89" s="14"/>
      <c r="G89" s="15"/>
      <c r="H89" s="16"/>
      <c r="I89" s="15"/>
    </row>
    <row r="90" customFormat="false" ht="15" hidden="false" customHeight="false" outlineLevel="0" collapsed="false">
      <c r="A90" s="8" t="n">
        <v>89</v>
      </c>
      <c r="B90" s="7" t="s">
        <v>129</v>
      </c>
      <c r="C90" s="7" t="s">
        <v>16</v>
      </c>
      <c r="D90" s="8" t="n">
        <f aca="false">INT((A90-1)/4)+1</f>
        <v>23</v>
      </c>
      <c r="E90" s="8" t="s">
        <v>117</v>
      </c>
      <c r="F90" s="14" t="s">
        <v>118</v>
      </c>
      <c r="G90" s="15"/>
      <c r="H90" s="16"/>
      <c r="I90" s="15"/>
    </row>
    <row r="91" customFormat="false" ht="15" hidden="false" customHeight="false" outlineLevel="0" collapsed="false">
      <c r="A91" s="8" t="n">
        <v>90</v>
      </c>
      <c r="B91" s="7" t="s">
        <v>130</v>
      </c>
      <c r="C91" s="7" t="s">
        <v>17</v>
      </c>
      <c r="D91" s="8" t="n">
        <f aca="false">INT((A91-1)/4)+1</f>
        <v>23</v>
      </c>
      <c r="E91" s="8" t="s">
        <v>40</v>
      </c>
      <c r="F91" s="14"/>
      <c r="G91" s="15"/>
      <c r="H91" s="16"/>
      <c r="I91" s="15"/>
    </row>
    <row r="92" customFormat="false" ht="15" hidden="false" customHeight="false" outlineLevel="0" collapsed="false">
      <c r="A92" s="8" t="n">
        <v>91</v>
      </c>
      <c r="B92" s="7" t="s">
        <v>131</v>
      </c>
      <c r="C92" s="7" t="s">
        <v>17</v>
      </c>
      <c r="D92" s="8" t="n">
        <f aca="false">INT((A92-1)/4)+1</f>
        <v>23</v>
      </c>
      <c r="E92" s="8" t="s">
        <v>40</v>
      </c>
      <c r="F92" s="14"/>
      <c r="G92" s="15"/>
      <c r="H92" s="16"/>
      <c r="I92" s="15"/>
    </row>
    <row r="93" customFormat="false" ht="15" hidden="false" customHeight="false" outlineLevel="0" collapsed="false">
      <c r="A93" s="8" t="n">
        <v>92</v>
      </c>
      <c r="B93" s="7" t="s">
        <v>132</v>
      </c>
      <c r="C93" s="7" t="s">
        <v>17</v>
      </c>
      <c r="D93" s="8" t="n">
        <f aca="false">INT((A93-1)/4)+1</f>
        <v>23</v>
      </c>
      <c r="E93" s="8" t="s">
        <v>40</v>
      </c>
      <c r="F93" s="14"/>
      <c r="G93" s="15"/>
      <c r="H93" s="16"/>
      <c r="I93" s="15"/>
    </row>
    <row r="94" customFormat="false" ht="15" hidden="false" customHeight="false" outlineLevel="0" collapsed="false">
      <c r="A94" s="8" t="n">
        <v>93</v>
      </c>
      <c r="B94" s="7" t="s">
        <v>133</v>
      </c>
      <c r="C94" s="7" t="s">
        <v>17</v>
      </c>
      <c r="D94" s="8" t="n">
        <f aca="false">INT((A94-1)/4)+1</f>
        <v>24</v>
      </c>
      <c r="E94" s="8" t="s">
        <v>40</v>
      </c>
      <c r="F94" s="14"/>
      <c r="G94" s="15"/>
      <c r="H94" s="16"/>
      <c r="I94" s="15"/>
    </row>
    <row r="95" customFormat="false" ht="15" hidden="false" customHeight="false" outlineLevel="0" collapsed="false">
      <c r="A95" s="8" t="n">
        <v>94</v>
      </c>
      <c r="B95" s="7" t="s">
        <v>134</v>
      </c>
      <c r="C95" s="7" t="s">
        <v>17</v>
      </c>
      <c r="D95" s="8" t="n">
        <f aca="false">INT((A95-1)/4)+1</f>
        <v>24</v>
      </c>
      <c r="E95" s="8" t="s">
        <v>40</v>
      </c>
      <c r="F95" s="14"/>
      <c r="G95" s="15"/>
      <c r="H95" s="16"/>
      <c r="I95" s="15"/>
    </row>
    <row r="96" customFormat="false" ht="15" hidden="false" customHeight="false" outlineLevel="0" collapsed="false">
      <c r="A96" s="8" t="n">
        <v>95</v>
      </c>
      <c r="B96" s="7" t="s">
        <v>135</v>
      </c>
      <c r="C96" s="7" t="s">
        <v>17</v>
      </c>
      <c r="D96" s="8" t="n">
        <f aca="false">INT((A96-1)/4)+1</f>
        <v>24</v>
      </c>
      <c r="E96" s="8" t="s">
        <v>40</v>
      </c>
      <c r="F96" s="14"/>
      <c r="G96" s="15"/>
      <c r="H96" s="16"/>
      <c r="I96" s="15"/>
    </row>
    <row r="97" customFormat="false" ht="15" hidden="false" customHeight="false" outlineLevel="0" collapsed="false">
      <c r="A97" s="8" t="n">
        <v>96</v>
      </c>
      <c r="B97" s="7" t="s">
        <v>136</v>
      </c>
      <c r="C97" s="7" t="s">
        <v>17</v>
      </c>
      <c r="D97" s="8" t="n">
        <f aca="false">INT((A97-1)/4)+1</f>
        <v>24</v>
      </c>
      <c r="E97" s="8" t="s">
        <v>40</v>
      </c>
      <c r="F97" s="14"/>
      <c r="G97" s="15"/>
      <c r="H97" s="16"/>
      <c r="I97" s="15"/>
    </row>
    <row r="98" customFormat="false" ht="15" hidden="false" customHeight="false" outlineLevel="0" collapsed="false">
      <c r="A98" s="8" t="n">
        <v>97</v>
      </c>
      <c r="B98" s="7" t="s">
        <v>137</v>
      </c>
      <c r="C98" s="7" t="s">
        <v>17</v>
      </c>
      <c r="D98" s="8" t="n">
        <f aca="false">INT((A98-1)/4)+1</f>
        <v>25</v>
      </c>
      <c r="E98" s="8" t="s">
        <v>40</v>
      </c>
      <c r="F98" s="14"/>
      <c r="G98" s="15"/>
      <c r="H98" s="16"/>
      <c r="I98" s="15"/>
    </row>
    <row r="99" customFormat="false" ht="15" hidden="false" customHeight="false" outlineLevel="0" collapsed="false">
      <c r="A99" s="8" t="n">
        <v>98</v>
      </c>
      <c r="B99" s="7" t="s">
        <v>138</v>
      </c>
      <c r="C99" s="7" t="s">
        <v>17</v>
      </c>
      <c r="D99" s="8" t="n">
        <f aca="false">INT((A99-1)/4)+1</f>
        <v>25</v>
      </c>
      <c r="E99" s="8" t="s">
        <v>40</v>
      </c>
      <c r="F99" s="14"/>
      <c r="G99" s="15"/>
      <c r="H99" s="16"/>
      <c r="I99" s="15"/>
    </row>
    <row r="100" customFormat="false" ht="15" hidden="false" customHeight="false" outlineLevel="0" collapsed="false">
      <c r="A100" s="8" t="n">
        <v>99</v>
      </c>
      <c r="B100" s="7" t="s">
        <v>139</v>
      </c>
      <c r="C100" s="7" t="s">
        <v>17</v>
      </c>
      <c r="D100" s="8" t="n">
        <f aca="false">INT((A100-1)/4)+1</f>
        <v>25</v>
      </c>
      <c r="E100" s="8" t="s">
        <v>40</v>
      </c>
      <c r="F100" s="14"/>
      <c r="G100" s="15"/>
      <c r="H100" s="16"/>
      <c r="I100" s="15"/>
    </row>
    <row r="101" customFormat="false" ht="15" hidden="false" customHeight="false" outlineLevel="0" collapsed="false">
      <c r="A101" s="8" t="n">
        <v>100</v>
      </c>
      <c r="B101" s="7" t="s">
        <v>140</v>
      </c>
      <c r="C101" s="7" t="s">
        <v>17</v>
      </c>
      <c r="D101" s="8" t="n">
        <f aca="false">INT((A101-1)/4)+1</f>
        <v>25</v>
      </c>
      <c r="E101" s="8" t="s">
        <v>40</v>
      </c>
      <c r="F101" s="14"/>
      <c r="G101" s="15"/>
      <c r="H101" s="16"/>
      <c r="I101" s="15"/>
    </row>
    <row r="102" customFormat="false" ht="15" hidden="false" customHeight="false" outlineLevel="0" collapsed="false">
      <c r="A102" s="8" t="n">
        <v>101</v>
      </c>
      <c r="B102" s="7" t="s">
        <v>141</v>
      </c>
      <c r="C102" s="7" t="s">
        <v>17</v>
      </c>
      <c r="D102" s="8" t="n">
        <f aca="false">INT((A102-1)/4)+1</f>
        <v>26</v>
      </c>
      <c r="E102" s="8" t="s">
        <v>40</v>
      </c>
      <c r="F102" s="14"/>
      <c r="G102" s="15"/>
      <c r="H102" s="16"/>
      <c r="I102" s="15"/>
    </row>
    <row r="103" customFormat="false" ht="15" hidden="false" customHeight="false" outlineLevel="0" collapsed="false">
      <c r="A103" s="8" t="n">
        <v>102</v>
      </c>
      <c r="B103" s="7" t="s">
        <v>142</v>
      </c>
      <c r="C103" s="7" t="s">
        <v>18</v>
      </c>
      <c r="D103" s="8" t="n">
        <f aca="false">INT((A103-1)/4)+1</f>
        <v>26</v>
      </c>
      <c r="E103" s="8" t="s">
        <v>40</v>
      </c>
      <c r="F103" s="14"/>
      <c r="G103" s="15"/>
      <c r="H103" s="16"/>
      <c r="I103" s="15"/>
    </row>
    <row r="104" customFormat="false" ht="15" hidden="false" customHeight="false" outlineLevel="0" collapsed="false">
      <c r="A104" s="8" t="n">
        <v>103</v>
      </c>
      <c r="B104" s="7" t="s">
        <v>143</v>
      </c>
      <c r="C104" s="7" t="s">
        <v>18</v>
      </c>
      <c r="D104" s="8" t="n">
        <f aca="false">INT((A104-1)/4)+1</f>
        <v>26</v>
      </c>
      <c r="E104" s="8" t="s">
        <v>40</v>
      </c>
      <c r="F104" s="14"/>
      <c r="G104" s="15"/>
      <c r="H104" s="16"/>
      <c r="I104" s="15"/>
    </row>
    <row r="105" customFormat="false" ht="15" hidden="false" customHeight="false" outlineLevel="0" collapsed="false">
      <c r="A105" s="8" t="n">
        <v>104</v>
      </c>
      <c r="B105" s="7" t="s">
        <v>144</v>
      </c>
      <c r="C105" s="7" t="s">
        <v>18</v>
      </c>
      <c r="D105" s="8" t="n">
        <f aca="false">INT((A105-1)/4)+1</f>
        <v>26</v>
      </c>
      <c r="E105" s="8" t="s">
        <v>40</v>
      </c>
      <c r="F105" s="14"/>
      <c r="G105" s="15"/>
      <c r="H105" s="16"/>
      <c r="I105" s="15"/>
    </row>
    <row r="106" customFormat="false" ht="15" hidden="false" customHeight="false" outlineLevel="0" collapsed="false">
      <c r="A106" s="8" t="n">
        <v>105</v>
      </c>
      <c r="B106" s="7" t="s">
        <v>145</v>
      </c>
      <c r="C106" s="7" t="s">
        <v>18</v>
      </c>
      <c r="D106" s="8" t="n">
        <f aca="false">INT((A106-1)/4)+1</f>
        <v>27</v>
      </c>
      <c r="E106" s="8" t="s">
        <v>40</v>
      </c>
      <c r="F106" s="14"/>
      <c r="G106" s="15"/>
      <c r="H106" s="16"/>
      <c r="I106" s="15"/>
    </row>
    <row r="107" customFormat="false" ht="15" hidden="false" customHeight="false" outlineLevel="0" collapsed="false">
      <c r="A107" s="8" t="n">
        <v>106</v>
      </c>
      <c r="B107" s="7" t="s">
        <v>146</v>
      </c>
      <c r="C107" s="7" t="s">
        <v>18</v>
      </c>
      <c r="D107" s="8" t="n">
        <f aca="false">INT((A107-1)/4)+1</f>
        <v>27</v>
      </c>
      <c r="E107" s="8" t="s">
        <v>40</v>
      </c>
      <c r="F107" s="14"/>
      <c r="G107" s="15"/>
      <c r="H107" s="16"/>
      <c r="I107" s="15"/>
    </row>
    <row r="108" customFormat="false" ht="15" hidden="false" customHeight="false" outlineLevel="0" collapsed="false">
      <c r="A108" s="8" t="n">
        <v>107</v>
      </c>
      <c r="B108" s="7" t="s">
        <v>147</v>
      </c>
      <c r="C108" s="7" t="s">
        <v>18</v>
      </c>
      <c r="D108" s="8" t="n">
        <f aca="false">INT((A108-1)/4)+1</f>
        <v>27</v>
      </c>
      <c r="E108" s="8" t="s">
        <v>40</v>
      </c>
      <c r="F108" s="14"/>
      <c r="G108" s="15"/>
      <c r="H108" s="16"/>
      <c r="I108" s="15"/>
    </row>
    <row r="109" customFormat="false" ht="15" hidden="false" customHeight="false" outlineLevel="0" collapsed="false">
      <c r="A109" s="8" t="n">
        <v>108</v>
      </c>
      <c r="B109" s="7" t="s">
        <v>148</v>
      </c>
      <c r="C109" s="7" t="s">
        <v>18</v>
      </c>
      <c r="D109" s="8" t="n">
        <f aca="false">INT((A109-1)/4)+1</f>
        <v>27</v>
      </c>
      <c r="E109" s="8" t="s">
        <v>117</v>
      </c>
      <c r="F109" s="14" t="s">
        <v>118</v>
      </c>
      <c r="G109" s="15"/>
      <c r="H109" s="16"/>
      <c r="I109" s="15"/>
    </row>
    <row r="110" customFormat="false" ht="15" hidden="false" customHeight="false" outlineLevel="0" collapsed="false">
      <c r="A110" s="8" t="n">
        <v>109</v>
      </c>
      <c r="B110" s="7" t="s">
        <v>149</v>
      </c>
      <c r="C110" s="7" t="s">
        <v>18</v>
      </c>
      <c r="D110" s="8" t="n">
        <f aca="false">INT((A110-1)/4)+1</f>
        <v>28</v>
      </c>
      <c r="E110" s="8" t="s">
        <v>117</v>
      </c>
      <c r="F110" s="14" t="s">
        <v>118</v>
      </c>
      <c r="G110" s="15"/>
      <c r="H110" s="16"/>
      <c r="I110" s="15"/>
    </row>
    <row r="111" customFormat="false" ht="15" hidden="false" customHeight="false" outlineLevel="0" collapsed="false">
      <c r="A111" s="8" t="n">
        <v>110</v>
      </c>
      <c r="B111" s="7" t="s">
        <v>150</v>
      </c>
      <c r="C111" s="7" t="s">
        <v>18</v>
      </c>
      <c r="D111" s="8" t="n">
        <f aca="false">INT((A111-1)/4)+1</f>
        <v>28</v>
      </c>
      <c r="E111" s="8" t="s">
        <v>117</v>
      </c>
      <c r="F111" s="14" t="s">
        <v>118</v>
      </c>
      <c r="G111" s="15"/>
      <c r="H111" s="16"/>
      <c r="I111" s="15"/>
    </row>
    <row r="112" customFormat="false" ht="15" hidden="false" customHeight="false" outlineLevel="0" collapsed="false">
      <c r="A112" s="8" t="n">
        <v>111</v>
      </c>
      <c r="B112" s="7" t="s">
        <v>151</v>
      </c>
      <c r="C112" s="7" t="s">
        <v>18</v>
      </c>
      <c r="D112" s="8" t="n">
        <f aca="false">INT((A112-1)/4)+1</f>
        <v>28</v>
      </c>
      <c r="E112" s="8" t="s">
        <v>117</v>
      </c>
      <c r="F112" s="14" t="s">
        <v>118</v>
      </c>
      <c r="G112" s="15"/>
      <c r="H112" s="16"/>
      <c r="I112" s="15"/>
    </row>
    <row r="113" customFormat="false" ht="15" hidden="false" customHeight="false" outlineLevel="0" collapsed="false">
      <c r="A113" s="8" t="n">
        <v>112</v>
      </c>
      <c r="B113" s="7" t="s">
        <v>152</v>
      </c>
      <c r="C113" s="7" t="s">
        <v>18</v>
      </c>
      <c r="D113" s="8" t="n">
        <f aca="false">INT((A113-1)/4)+1</f>
        <v>28</v>
      </c>
      <c r="E113" s="8" t="s">
        <v>117</v>
      </c>
      <c r="F113" s="14" t="s">
        <v>118</v>
      </c>
      <c r="G113" s="15"/>
      <c r="H113" s="16"/>
      <c r="I113" s="15"/>
    </row>
    <row r="114" customFormat="false" ht="23.85" hidden="false" customHeight="false" outlineLevel="0" collapsed="false">
      <c r="A114" s="8" t="n">
        <v>113</v>
      </c>
      <c r="B114" s="7" t="s">
        <v>153</v>
      </c>
      <c r="C114" s="7" t="s">
        <v>19</v>
      </c>
      <c r="D114" s="8" t="n">
        <f aca="false">INT((A114-1)/4)+1</f>
        <v>29</v>
      </c>
      <c r="E114" s="8" t="s">
        <v>117</v>
      </c>
      <c r="F114" s="14" t="s">
        <v>154</v>
      </c>
      <c r="G114" s="15"/>
      <c r="H114" s="16"/>
      <c r="I114" s="15"/>
    </row>
    <row r="115" customFormat="false" ht="23.85" hidden="false" customHeight="false" outlineLevel="0" collapsed="false">
      <c r="A115" s="8" t="n">
        <v>114</v>
      </c>
      <c r="B115" s="7" t="s">
        <v>155</v>
      </c>
      <c r="C115" s="7" t="s">
        <v>19</v>
      </c>
      <c r="D115" s="8" t="n">
        <f aca="false">INT((A115-1)/4)+1</f>
        <v>29</v>
      </c>
      <c r="E115" s="8" t="s">
        <v>117</v>
      </c>
      <c r="F115" s="14" t="s">
        <v>154</v>
      </c>
      <c r="G115" s="15"/>
      <c r="H115" s="16"/>
      <c r="I115" s="15"/>
    </row>
    <row r="116" customFormat="false" ht="23.85" hidden="false" customHeight="false" outlineLevel="0" collapsed="false">
      <c r="A116" s="8" t="n">
        <v>115</v>
      </c>
      <c r="B116" s="7" t="s">
        <v>156</v>
      </c>
      <c r="C116" s="7" t="s">
        <v>19</v>
      </c>
      <c r="D116" s="8" t="n">
        <f aca="false">INT((A116-1)/4)+1</f>
        <v>29</v>
      </c>
      <c r="E116" s="8" t="s">
        <v>117</v>
      </c>
      <c r="F116" s="14" t="s">
        <v>154</v>
      </c>
      <c r="G116" s="15"/>
      <c r="H116" s="16"/>
      <c r="I116" s="15"/>
    </row>
    <row r="117" customFormat="false" ht="23.85" hidden="false" customHeight="false" outlineLevel="0" collapsed="false">
      <c r="A117" s="8" t="n">
        <v>116</v>
      </c>
      <c r="B117" s="7" t="s">
        <v>157</v>
      </c>
      <c r="C117" s="7" t="s">
        <v>19</v>
      </c>
      <c r="D117" s="8" t="n">
        <f aca="false">INT((A117-1)/4)+1</f>
        <v>29</v>
      </c>
      <c r="E117" s="8" t="s">
        <v>117</v>
      </c>
      <c r="F117" s="14" t="s">
        <v>154</v>
      </c>
      <c r="G117" s="15"/>
      <c r="H117" s="16"/>
      <c r="I117" s="15"/>
    </row>
    <row r="118" customFormat="false" ht="23.85" hidden="false" customHeight="false" outlineLevel="0" collapsed="false">
      <c r="A118" s="8" t="n">
        <v>117</v>
      </c>
      <c r="B118" s="7" t="s">
        <v>158</v>
      </c>
      <c r="C118" s="7" t="s">
        <v>19</v>
      </c>
      <c r="D118" s="8" t="n">
        <f aca="false">INT((A118-1)/4)+1</f>
        <v>30</v>
      </c>
      <c r="E118" s="8" t="s">
        <v>117</v>
      </c>
      <c r="F118" s="14" t="s">
        <v>154</v>
      </c>
      <c r="G118" s="15"/>
      <c r="H118" s="16"/>
      <c r="I118" s="15"/>
    </row>
    <row r="119" customFormat="false" ht="23.85" hidden="false" customHeight="false" outlineLevel="0" collapsed="false">
      <c r="A119" s="8" t="n">
        <v>118</v>
      </c>
      <c r="B119" s="7" t="s">
        <v>159</v>
      </c>
      <c r="C119" s="7" t="s">
        <v>19</v>
      </c>
      <c r="D119" s="8" t="n">
        <f aca="false">INT((A119-1)/4)+1</f>
        <v>30</v>
      </c>
      <c r="E119" s="8" t="s">
        <v>117</v>
      </c>
      <c r="F119" s="14" t="s">
        <v>154</v>
      </c>
      <c r="G119" s="15"/>
      <c r="H119" s="16"/>
      <c r="I119" s="15"/>
    </row>
    <row r="120" customFormat="false" ht="23.85" hidden="false" customHeight="false" outlineLevel="0" collapsed="false">
      <c r="A120" s="8" t="n">
        <v>119</v>
      </c>
      <c r="B120" s="7" t="s">
        <v>160</v>
      </c>
      <c r="C120" s="7" t="s">
        <v>19</v>
      </c>
      <c r="D120" s="8" t="n">
        <f aca="false">INT((A120-1)/4)+1</f>
        <v>30</v>
      </c>
      <c r="E120" s="8" t="s">
        <v>117</v>
      </c>
      <c r="F120" s="14" t="s">
        <v>154</v>
      </c>
      <c r="G120" s="15"/>
      <c r="H120" s="16"/>
      <c r="I120" s="15"/>
    </row>
    <row r="121" customFormat="false" ht="23.85" hidden="false" customHeight="false" outlineLevel="0" collapsed="false">
      <c r="A121" s="8" t="n">
        <v>120</v>
      </c>
      <c r="B121" s="7" t="s">
        <v>161</v>
      </c>
      <c r="C121" s="7" t="s">
        <v>19</v>
      </c>
      <c r="D121" s="8" t="n">
        <f aca="false">INT((A121-1)/4)+1</f>
        <v>30</v>
      </c>
      <c r="E121" s="8" t="s">
        <v>117</v>
      </c>
      <c r="F121" s="14" t="s">
        <v>154</v>
      </c>
      <c r="G121" s="15"/>
      <c r="H121" s="16"/>
      <c r="I121" s="15"/>
    </row>
    <row r="122" customFormat="false" ht="15" hidden="false" customHeight="false" outlineLevel="0" collapsed="false">
      <c r="A122" s="8" t="n">
        <v>121</v>
      </c>
      <c r="B122" s="7" t="s">
        <v>162</v>
      </c>
      <c r="C122" s="7" t="s">
        <v>20</v>
      </c>
      <c r="D122" s="8" t="n">
        <f aca="false">INT((A122-1)/4)+1</f>
        <v>31</v>
      </c>
      <c r="E122" s="8" t="s">
        <v>40</v>
      </c>
      <c r="F122" s="14"/>
      <c r="G122" s="15"/>
      <c r="H122" s="16"/>
      <c r="I122" s="15"/>
    </row>
    <row r="123" customFormat="false" ht="15" hidden="false" customHeight="false" outlineLevel="0" collapsed="false">
      <c r="A123" s="8" t="n">
        <v>122</v>
      </c>
      <c r="B123" s="7" t="s">
        <v>163</v>
      </c>
      <c r="C123" s="7" t="s">
        <v>20</v>
      </c>
      <c r="D123" s="8" t="n">
        <f aca="false">INT((A123-1)/4)+1</f>
        <v>31</v>
      </c>
      <c r="E123" s="8" t="s">
        <v>40</v>
      </c>
      <c r="F123" s="14"/>
      <c r="G123" s="15"/>
      <c r="H123" s="16"/>
      <c r="I123" s="15"/>
    </row>
    <row r="124" customFormat="false" ht="15" hidden="false" customHeight="false" outlineLevel="0" collapsed="false">
      <c r="A124" s="8" t="n">
        <v>123</v>
      </c>
      <c r="B124" s="7" t="s">
        <v>164</v>
      </c>
      <c r="C124" s="7" t="s">
        <v>20</v>
      </c>
      <c r="D124" s="8" t="n">
        <f aca="false">INT((A124-1)/4)+1</f>
        <v>31</v>
      </c>
      <c r="E124" s="8" t="s">
        <v>40</v>
      </c>
      <c r="F124" s="14"/>
      <c r="G124" s="15"/>
      <c r="H124" s="16"/>
      <c r="I124" s="15"/>
    </row>
    <row r="125" customFormat="false" ht="15" hidden="false" customHeight="false" outlineLevel="0" collapsed="false">
      <c r="A125" s="8" t="n">
        <v>124</v>
      </c>
      <c r="B125" s="7" t="s">
        <v>165</v>
      </c>
      <c r="C125" s="7" t="s">
        <v>20</v>
      </c>
      <c r="D125" s="8" t="n">
        <f aca="false">INT((A125-1)/4)+1</f>
        <v>31</v>
      </c>
      <c r="E125" s="8" t="s">
        <v>40</v>
      </c>
      <c r="F125" s="14"/>
      <c r="G125" s="15"/>
      <c r="H125" s="16"/>
      <c r="I125" s="15"/>
    </row>
    <row r="126" customFormat="false" ht="15" hidden="false" customHeight="false" outlineLevel="0" collapsed="false">
      <c r="A126" s="8" t="n">
        <v>125</v>
      </c>
      <c r="B126" s="7" t="s">
        <v>166</v>
      </c>
      <c r="C126" s="7" t="s">
        <v>20</v>
      </c>
      <c r="D126" s="8" t="n">
        <f aca="false">INT((A126-1)/4)+1</f>
        <v>32</v>
      </c>
      <c r="E126" s="8" t="s">
        <v>40</v>
      </c>
      <c r="F126" s="14"/>
      <c r="G126" s="15"/>
      <c r="H126" s="16"/>
      <c r="I126" s="15"/>
    </row>
    <row r="127" customFormat="false" ht="15" hidden="false" customHeight="false" outlineLevel="0" collapsed="false">
      <c r="A127" s="8" t="n">
        <v>126</v>
      </c>
      <c r="B127" s="7" t="s">
        <v>167</v>
      </c>
      <c r="C127" s="7" t="s">
        <v>20</v>
      </c>
      <c r="D127" s="8" t="n">
        <f aca="false">INT((A127-1)/4)+1</f>
        <v>32</v>
      </c>
      <c r="E127" s="8" t="s">
        <v>40</v>
      </c>
      <c r="F127" s="14"/>
      <c r="G127" s="15"/>
      <c r="H127" s="16"/>
      <c r="I127" s="15"/>
    </row>
    <row r="128" customFormat="false" ht="15" hidden="false" customHeight="false" outlineLevel="0" collapsed="false">
      <c r="A128" s="8" t="n">
        <v>127</v>
      </c>
      <c r="B128" s="7" t="s">
        <v>168</v>
      </c>
      <c r="C128" s="7" t="s">
        <v>20</v>
      </c>
      <c r="D128" s="8" t="n">
        <f aca="false">INT((A128-1)/4)+1</f>
        <v>32</v>
      </c>
      <c r="E128" s="8" t="s">
        <v>40</v>
      </c>
      <c r="F128" s="14"/>
      <c r="G128" s="15"/>
      <c r="H128" s="16"/>
      <c r="I128" s="15"/>
    </row>
    <row r="129" customFormat="false" ht="15" hidden="false" customHeight="false" outlineLevel="0" collapsed="false">
      <c r="A129" s="8" t="n">
        <v>128</v>
      </c>
      <c r="B129" s="7" t="s">
        <v>169</v>
      </c>
      <c r="C129" s="7" t="s">
        <v>20</v>
      </c>
      <c r="D129" s="8" t="n">
        <f aca="false">INT((A129-1)/4)+1</f>
        <v>32</v>
      </c>
      <c r="E129" s="8" t="s">
        <v>40</v>
      </c>
      <c r="F129" s="14"/>
      <c r="G129" s="15"/>
      <c r="H129" s="16"/>
      <c r="I129" s="15"/>
    </row>
    <row r="130" customFormat="false" ht="15" hidden="false" customHeight="false" outlineLevel="0" collapsed="false">
      <c r="A130" s="8" t="n">
        <v>129</v>
      </c>
      <c r="B130" s="7" t="s">
        <v>170</v>
      </c>
      <c r="C130" s="7" t="s">
        <v>20</v>
      </c>
      <c r="D130" s="8" t="n">
        <f aca="false">INT((A130-1)/4)+1</f>
        <v>33</v>
      </c>
      <c r="E130" s="8" t="s">
        <v>117</v>
      </c>
      <c r="F130" s="14" t="s">
        <v>118</v>
      </c>
      <c r="G130" s="15"/>
      <c r="H130" s="16"/>
      <c r="I130" s="15"/>
    </row>
    <row r="131" customFormat="false" ht="15" hidden="false" customHeight="false" outlineLevel="0" collapsed="false">
      <c r="A131" s="8" t="n">
        <v>130</v>
      </c>
      <c r="B131" s="7" t="s">
        <v>171</v>
      </c>
      <c r="C131" s="7" t="s">
        <v>20</v>
      </c>
      <c r="D131" s="8" t="n">
        <f aca="false">INT((A131-1)/4)+1</f>
        <v>33</v>
      </c>
      <c r="E131" s="8" t="s">
        <v>40</v>
      </c>
      <c r="F131" s="14"/>
      <c r="G131" s="15"/>
      <c r="H131" s="16"/>
      <c r="I131" s="15"/>
    </row>
    <row r="132" customFormat="false" ht="15" hidden="false" customHeight="false" outlineLevel="0" collapsed="false">
      <c r="A132" s="8" t="n">
        <v>131</v>
      </c>
      <c r="B132" s="7" t="s">
        <v>172</v>
      </c>
      <c r="C132" s="7" t="s">
        <v>20</v>
      </c>
      <c r="D132" s="8" t="n">
        <f aca="false">INT((A132-1)/4)+1</f>
        <v>33</v>
      </c>
      <c r="E132" s="8" t="s">
        <v>40</v>
      </c>
      <c r="F132" s="14"/>
      <c r="G132" s="15"/>
      <c r="H132" s="16"/>
      <c r="I132" s="15"/>
    </row>
    <row r="133" customFormat="false" ht="15" hidden="false" customHeight="false" outlineLevel="0" collapsed="false">
      <c r="A133" s="8" t="n">
        <v>132</v>
      </c>
      <c r="B133" s="7" t="s">
        <v>173</v>
      </c>
      <c r="C133" s="7" t="s">
        <v>20</v>
      </c>
      <c r="D133" s="8" t="n">
        <f aca="false">INT((A133-1)/4)+1</f>
        <v>33</v>
      </c>
      <c r="E133" s="8" t="s">
        <v>40</v>
      </c>
      <c r="F133" s="14"/>
      <c r="G133" s="15"/>
      <c r="H133" s="16"/>
      <c r="I133" s="15"/>
    </row>
    <row r="134" customFormat="false" ht="15" hidden="false" customHeight="false" outlineLevel="0" collapsed="false">
      <c r="A134" s="8" t="n">
        <v>133</v>
      </c>
      <c r="B134" s="7" t="s">
        <v>174</v>
      </c>
      <c r="C134" s="7" t="s">
        <v>20</v>
      </c>
      <c r="D134" s="8" t="n">
        <f aca="false">INT((A134-1)/4)+1</f>
        <v>34</v>
      </c>
      <c r="E134" s="8" t="s">
        <v>40</v>
      </c>
      <c r="F134" s="14"/>
      <c r="G134" s="15"/>
      <c r="H134" s="16"/>
      <c r="I134" s="15"/>
    </row>
    <row r="135" customFormat="false" ht="15" hidden="false" customHeight="false" outlineLevel="0" collapsed="false">
      <c r="A135" s="8" t="n">
        <v>134</v>
      </c>
      <c r="B135" s="7" t="s">
        <v>175</v>
      </c>
      <c r="C135" s="7" t="s">
        <v>20</v>
      </c>
      <c r="D135" s="8" t="n">
        <f aca="false">INT((A135-1)/4)+1</f>
        <v>34</v>
      </c>
      <c r="E135" s="8" t="s">
        <v>40</v>
      </c>
      <c r="F135" s="14"/>
      <c r="G135" s="15"/>
      <c r="H135" s="16"/>
      <c r="I135" s="15"/>
    </row>
    <row r="136" customFormat="false" ht="15" hidden="false" customHeight="false" outlineLevel="0" collapsed="false">
      <c r="A136" s="8" t="n">
        <v>135</v>
      </c>
      <c r="B136" s="7" t="s">
        <v>176</v>
      </c>
      <c r="C136" s="7" t="s">
        <v>20</v>
      </c>
      <c r="D136" s="8" t="n">
        <f aca="false">INT((A136-1)/4)+1</f>
        <v>34</v>
      </c>
      <c r="E136" s="8" t="s">
        <v>40</v>
      </c>
      <c r="F136" s="14"/>
      <c r="G136" s="15"/>
      <c r="H136" s="16"/>
      <c r="I136" s="15"/>
    </row>
    <row r="137" customFormat="false" ht="15" hidden="false" customHeight="false" outlineLevel="0" collapsed="false">
      <c r="A137" s="8" t="n">
        <v>136</v>
      </c>
      <c r="B137" s="7" t="s">
        <v>177</v>
      </c>
      <c r="C137" s="7" t="s">
        <v>20</v>
      </c>
      <c r="D137" s="8" t="n">
        <f aca="false">INT((A137-1)/4)+1</f>
        <v>34</v>
      </c>
      <c r="E137" s="8" t="s">
        <v>40</v>
      </c>
      <c r="F137" s="14"/>
      <c r="G137" s="15"/>
      <c r="H137" s="16"/>
      <c r="I137" s="15"/>
    </row>
    <row r="138" customFormat="false" ht="15" hidden="false" customHeight="false" outlineLevel="0" collapsed="false">
      <c r="A138" s="8" t="n">
        <v>137</v>
      </c>
      <c r="B138" s="7" t="s">
        <v>178</v>
      </c>
      <c r="C138" s="7" t="s">
        <v>20</v>
      </c>
      <c r="D138" s="8" t="n">
        <f aca="false">INT((A138-1)/4)+1</f>
        <v>35</v>
      </c>
      <c r="E138" s="8" t="s">
        <v>40</v>
      </c>
      <c r="F138" s="14"/>
      <c r="G138" s="15"/>
      <c r="H138" s="16"/>
      <c r="I138" s="15"/>
    </row>
  </sheetData>
  <autoFilter ref="A1:I138"/>
  <dataValidations count="2">
    <dataValidation allowBlank="true" errorStyle="stop" operator="between" showDropDown="false" showErrorMessage="false" showInputMessage="false" sqref="G2:G138 I2:I138" type="list">
      <formula1>"Yes,No"</formula1>
      <formula2>0</formula2>
    </dataValidation>
    <dataValidation allowBlank="true" errorStyle="stop" operator="between" showDropDown="false" showErrorMessage="false" showInputMessage="false" sqref="H2:H13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24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30" hidden="false" customHeight="true" outlineLevel="0" collapsed="false">
      <c r="A1" s="13" t="s">
        <v>33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183</v>
      </c>
      <c r="G1" s="13" t="s">
        <v>184</v>
      </c>
    </row>
    <row r="2" customFormat="false" ht="15" hidden="false" customHeight="false" outlineLevel="0" collapsed="false">
      <c r="A2" s="8" t="n">
        <v>1</v>
      </c>
      <c r="B2" s="7" t="str">
        <f aca="false">Keywords!B2</f>
        <v>skinny jeans</v>
      </c>
      <c r="C2" s="7" t="str">
        <f aca="false">Keywords!B3</f>
        <v>wide leg jeans</v>
      </c>
      <c r="D2" s="7" t="str">
        <f aca="false">Keywords!B4</f>
        <v>baggy jeans</v>
      </c>
      <c r="E2" s="7" t="str">
        <f aca="false">Keywords!B5</f>
        <v>straight leg jeans</v>
      </c>
      <c r="F2" s="7" t="str">
        <f aca="false">Summary!$B$4</f>
        <v>leggings</v>
      </c>
      <c r="G2" s="7" t="str">
        <f aca="false">B2&amp;IF(C2="","",", "&amp;C2)&amp;IF(D2="","",", "&amp;D2)&amp;IF(E2="","",", "&amp;E2)&amp;", "&amp;F2</f>
        <v>skinny jeans, wide leg jeans, baggy jeans, straight leg jeans, leggings</v>
      </c>
    </row>
    <row r="3" customFormat="false" ht="15" hidden="false" customHeight="false" outlineLevel="0" collapsed="false">
      <c r="A3" s="8" t="n">
        <v>2</v>
      </c>
      <c r="B3" s="7" t="str">
        <f aca="false">Keywords!B6</f>
        <v>bootcut jeans</v>
      </c>
      <c r="C3" s="7" t="str">
        <f aca="false">Keywords!B7</f>
        <v>flare jeans</v>
      </c>
      <c r="D3" s="7" t="str">
        <f aca="false">Keywords!B8</f>
        <v>mom jeans</v>
      </c>
      <c r="E3" s="7" t="str">
        <f aca="false">Keywords!B9</f>
        <v>low rise jeans</v>
      </c>
      <c r="F3" s="7" t="str">
        <f aca="false">Summary!$B$4</f>
        <v>leggings</v>
      </c>
      <c r="G3" s="7" t="str">
        <f aca="false">B3&amp;IF(C3="","",", "&amp;C3)&amp;IF(D3="","",", "&amp;D3)&amp;IF(E3="","",", "&amp;E3)&amp;", "&amp;F3</f>
        <v>bootcut jeans, flare jeans, mom jeans, low rise jeans, leggings</v>
      </c>
    </row>
    <row r="4" customFormat="false" ht="15" hidden="false" customHeight="false" outlineLevel="0" collapsed="false">
      <c r="A4" s="8" t="n">
        <v>3</v>
      </c>
      <c r="B4" s="7" t="str">
        <f aca="false">Keywords!B10</f>
        <v>high waisted jeans</v>
      </c>
      <c r="C4" s="7" t="str">
        <f aca="false">Keywords!B11</f>
        <v>barrel jeans</v>
      </c>
      <c r="D4" s="7" t="str">
        <f aca="false">Keywords!B12</f>
        <v>boyfriend jeans</v>
      </c>
      <c r="E4" s="7" t="str">
        <f aca="false">Keywords!B13</f>
        <v>cargo jeans</v>
      </c>
      <c r="F4" s="7" t="str">
        <f aca="false">Summary!$B$4</f>
        <v>leggings</v>
      </c>
      <c r="G4" s="7" t="str">
        <f aca="false">B4&amp;IF(C4="","",", "&amp;C4)&amp;IF(D4="","",", "&amp;D4)&amp;IF(E4="","",", "&amp;E4)&amp;", "&amp;F4</f>
        <v>high waisted jeans, barrel jeans, boyfriend jeans, cargo jeans, leggings</v>
      </c>
    </row>
    <row r="5" customFormat="false" ht="15" hidden="false" customHeight="false" outlineLevel="0" collapsed="false">
      <c r="A5" s="8" t="n">
        <v>4</v>
      </c>
      <c r="B5" s="7" t="str">
        <f aca="false">Keywords!B14</f>
        <v>jorts</v>
      </c>
      <c r="C5" s="7" t="str">
        <f aca="false">Keywords!B15</f>
        <v>denim skirt</v>
      </c>
      <c r="D5" s="7" t="str">
        <f aca="false">Keywords!B16</f>
        <v>cargo pants</v>
      </c>
      <c r="E5" s="7" t="str">
        <f aca="false">Keywords!B17</f>
        <v>parachute pants</v>
      </c>
      <c r="F5" s="7" t="str">
        <f aca="false">Summary!$B$4</f>
        <v>leggings</v>
      </c>
      <c r="G5" s="7" t="str">
        <f aca="false">B5&amp;IF(C5="","",", "&amp;C5)&amp;IF(D5="","",", "&amp;D5)&amp;IF(E5="","",", "&amp;E5)&amp;", "&amp;F5</f>
        <v>jorts, denim skirt, cargo pants, parachute pants, leggings</v>
      </c>
    </row>
    <row r="6" customFormat="false" ht="15" hidden="false" customHeight="false" outlineLevel="0" collapsed="false">
      <c r="A6" s="8" t="n">
        <v>5</v>
      </c>
      <c r="B6" s="7" t="str">
        <f aca="false">Keywords!B18</f>
        <v>bell bottoms</v>
      </c>
      <c r="C6" s="7" t="str">
        <f aca="false">Keywords!B19</f>
        <v>leggings</v>
      </c>
      <c r="D6" s="7" t="str">
        <f aca="false">Keywords!B20</f>
        <v>joggers</v>
      </c>
      <c r="E6" s="7" t="str">
        <f aca="false">Keywords!B21</f>
        <v>sweatpants</v>
      </c>
      <c r="F6" s="7" t="str">
        <f aca="false">Summary!$B$4</f>
        <v>leggings</v>
      </c>
      <c r="G6" s="7" t="str">
        <f aca="false">B6&amp;IF(C6="","",", "&amp;C6)&amp;IF(D6="","",", "&amp;D6)&amp;IF(E6="","",", "&amp;E6)&amp;", "&amp;F6</f>
        <v>bell bottoms, leggings, joggers, sweatpants, leggings</v>
      </c>
    </row>
    <row r="7" customFormat="false" ht="15" hidden="false" customHeight="false" outlineLevel="0" collapsed="false">
      <c r="A7" s="8" t="n">
        <v>6</v>
      </c>
      <c r="B7" s="7" t="str">
        <f aca="false">Keywords!B22</f>
        <v>track pants</v>
      </c>
      <c r="C7" s="7" t="str">
        <f aca="false">Keywords!B23</f>
        <v>pleated trousers</v>
      </c>
      <c r="D7" s="7" t="str">
        <f aca="false">Keywords!B24</f>
        <v>capri pants</v>
      </c>
      <c r="E7" s="7" t="str">
        <f aca="false">Keywords!B25</f>
        <v>harem pants</v>
      </c>
      <c r="F7" s="7" t="str">
        <f aca="false">Summary!$B$4</f>
        <v>leggings</v>
      </c>
      <c r="G7" s="7" t="str">
        <f aca="false">B7&amp;IF(C7="","",", "&amp;C7)&amp;IF(D7="","",", "&amp;D7)&amp;IF(E7="","",", "&amp;E7)&amp;", "&amp;F7</f>
        <v>track pants, pleated trousers, capri pants, harem pants, leggings</v>
      </c>
    </row>
    <row r="8" customFormat="false" ht="15" hidden="false" customHeight="false" outlineLevel="0" collapsed="false">
      <c r="A8" s="8" t="n">
        <v>7</v>
      </c>
      <c r="B8" s="7" t="str">
        <f aca="false">Keywords!B26</f>
        <v>palazzo pants</v>
      </c>
      <c r="C8" s="7" t="str">
        <f aca="false">Keywords!B27</f>
        <v>culottes</v>
      </c>
      <c r="D8" s="7" t="str">
        <f aca="false">Keywords!B28</f>
        <v>bike shorts</v>
      </c>
      <c r="E8" s="7" t="str">
        <f aca="false">Keywords!B29</f>
        <v>bermuda shorts</v>
      </c>
      <c r="F8" s="7" t="str">
        <f aca="false">Summary!$B$4</f>
        <v>leggings</v>
      </c>
      <c r="G8" s="7" t="str">
        <f aca="false">B8&amp;IF(C8="","",", "&amp;C8)&amp;IF(D8="","",", "&amp;D8)&amp;IF(E8="","",", "&amp;E8)&amp;", "&amp;F8</f>
        <v>palazzo pants, culottes, bike shorts, bermuda shorts, leggings</v>
      </c>
    </row>
    <row r="9" customFormat="false" ht="15" hidden="false" customHeight="false" outlineLevel="0" collapsed="false">
      <c r="A9" s="8" t="n">
        <v>8</v>
      </c>
      <c r="B9" s="7" t="str">
        <f aca="false">Keywords!B30</f>
        <v>leather pants</v>
      </c>
      <c r="C9" s="7" t="str">
        <f aca="false">Keywords!B31</f>
        <v>mini skirt</v>
      </c>
      <c r="D9" s="7" t="str">
        <f aca="false">Keywords!B32</f>
        <v>maxi skirt</v>
      </c>
      <c r="E9" s="7" t="str">
        <f aca="false">Keywords!B33</f>
        <v>midi skirt</v>
      </c>
      <c r="F9" s="7" t="str">
        <f aca="false">Summary!$B$4</f>
        <v>leggings</v>
      </c>
      <c r="G9" s="7" t="str">
        <f aca="false">B9&amp;IF(C9="","",", "&amp;C9)&amp;IF(D9="","",", "&amp;D9)&amp;IF(E9="","",", "&amp;E9)&amp;", "&amp;F9</f>
        <v>leather pants, mini skirt, maxi skirt, midi skirt, leggings</v>
      </c>
    </row>
    <row r="10" customFormat="false" ht="15" hidden="false" customHeight="false" outlineLevel="0" collapsed="false">
      <c r="A10" s="8" t="n">
        <v>9</v>
      </c>
      <c r="B10" s="7" t="str">
        <f aca="false">Keywords!B34</f>
        <v>pleated skirt</v>
      </c>
      <c r="C10" s="7" t="str">
        <f aca="false">Keywords!B35</f>
        <v>tennis skirt</v>
      </c>
      <c r="D10" s="7" t="str">
        <f aca="false">Keywords!B36</f>
        <v>balloon skirt</v>
      </c>
      <c r="E10" s="7" t="str">
        <f aca="false">Keywords!B37</f>
        <v>slip dress</v>
      </c>
      <c r="F10" s="7" t="str">
        <f aca="false">Summary!$B$4</f>
        <v>leggings</v>
      </c>
      <c r="G10" s="7" t="str">
        <f aca="false">B10&amp;IF(C10="","",", "&amp;C10)&amp;IF(D10="","",", "&amp;D10)&amp;IF(E10="","",", "&amp;E10)&amp;", "&amp;F10</f>
        <v>pleated skirt, tennis skirt, balloon skirt, slip dress, leggings</v>
      </c>
    </row>
    <row r="11" customFormat="false" ht="15" hidden="false" customHeight="false" outlineLevel="0" collapsed="false">
      <c r="A11" s="8" t="n">
        <v>10</v>
      </c>
      <c r="B11" s="7" t="str">
        <f aca="false">Keywords!B38</f>
        <v>bodycon dress</v>
      </c>
      <c r="C11" s="7" t="str">
        <f aca="false">Keywords!B39</f>
        <v>wrap dress</v>
      </c>
      <c r="D11" s="7" t="str">
        <f aca="false">Keywords!B40</f>
        <v>babydoll dress</v>
      </c>
      <c r="E11" s="7" t="str">
        <f aca="false">Keywords!B41</f>
        <v>sundress</v>
      </c>
      <c r="F11" s="7" t="str">
        <f aca="false">Summary!$B$4</f>
        <v>leggings</v>
      </c>
      <c r="G11" s="7" t="str">
        <f aca="false">B11&amp;IF(C11="","",", "&amp;C11)&amp;IF(D11="","",", "&amp;D11)&amp;IF(E11="","",", "&amp;E11)&amp;", "&amp;F11</f>
        <v>bodycon dress, wrap dress, babydoll dress, sundress, leggings</v>
      </c>
    </row>
    <row r="12" customFormat="false" ht="15" hidden="false" customHeight="false" outlineLevel="0" collapsed="false">
      <c r="A12" s="8" t="n">
        <v>11</v>
      </c>
      <c r="B12" s="7" t="str">
        <f aca="false">Keywords!B42</f>
        <v>corset dress</v>
      </c>
      <c r="C12" s="7" t="str">
        <f aca="false">Keywords!B43</f>
        <v>crop top</v>
      </c>
      <c r="D12" s="7" t="str">
        <f aca="false">Keywords!B44</f>
        <v>corset top</v>
      </c>
      <c r="E12" s="7" t="str">
        <f aca="false">Keywords!B45</f>
        <v>baby tee</v>
      </c>
      <c r="F12" s="7" t="str">
        <f aca="false">Summary!$B$4</f>
        <v>leggings</v>
      </c>
      <c r="G12" s="7" t="str">
        <f aca="false">B12&amp;IF(C12="","",", "&amp;C12)&amp;IF(D12="","",", "&amp;D12)&amp;IF(E12="","",", "&amp;E12)&amp;", "&amp;F12</f>
        <v>corset dress, crop top, corset top, baby tee, leggings</v>
      </c>
    </row>
    <row r="13" customFormat="false" ht="15" hidden="false" customHeight="false" outlineLevel="0" collapsed="false">
      <c r="A13" s="8" t="n">
        <v>12</v>
      </c>
      <c r="B13" s="7" t="str">
        <f aca="false">Keywords!B46</f>
        <v>tube top</v>
      </c>
      <c r="C13" s="7" t="str">
        <f aca="false">Keywords!B47</f>
        <v>halter top</v>
      </c>
      <c r="D13" s="7" t="str">
        <f aca="false">Keywords!B48</f>
        <v>off the shoulder top</v>
      </c>
      <c r="E13" s="7" t="str">
        <f aca="false">Keywords!B49</f>
        <v>tank top</v>
      </c>
      <c r="F13" s="7" t="str">
        <f aca="false">Summary!$B$4</f>
        <v>leggings</v>
      </c>
      <c r="G13" s="7" t="str">
        <f aca="false">B13&amp;IF(C13="","",", "&amp;C13)&amp;IF(D13="","",", "&amp;D13)&amp;IF(E13="","",", "&amp;E13)&amp;", "&amp;F13</f>
        <v>tube top, halter top, off the shoulder top, tank top, leggings</v>
      </c>
    </row>
    <row r="14" customFormat="false" ht="15" hidden="false" customHeight="false" outlineLevel="0" collapsed="false">
      <c r="A14" s="8" t="n">
        <v>13</v>
      </c>
      <c r="B14" s="7" t="str">
        <f aca="false">Keywords!B50</f>
        <v>oversized t shirt</v>
      </c>
      <c r="C14" s="7" t="str">
        <f aca="false">Keywords!B51</f>
        <v>graphic tee</v>
      </c>
      <c r="D14" s="7" t="str">
        <f aca="false">Keywords!B52</f>
        <v>cardigan</v>
      </c>
      <c r="E14" s="7" t="str">
        <f aca="false">Keywords!B53</f>
        <v>sweater vest</v>
      </c>
      <c r="F14" s="7" t="str">
        <f aca="false">Summary!$B$4</f>
        <v>leggings</v>
      </c>
      <c r="G14" s="7" t="str">
        <f aca="false">B14&amp;IF(C14="","",", "&amp;C14)&amp;IF(D14="","",", "&amp;D14)&amp;IF(E14="","",", "&amp;E14)&amp;", "&amp;F14</f>
        <v>oversized t shirt, graphic tee, cardigan, sweater vest, leggings</v>
      </c>
    </row>
    <row r="15" customFormat="false" ht="15" hidden="false" customHeight="false" outlineLevel="0" collapsed="false">
      <c r="A15" s="8" t="n">
        <v>14</v>
      </c>
      <c r="B15" s="7" t="str">
        <f aca="false">Keywords!B54</f>
        <v>turtleneck</v>
      </c>
      <c r="C15" s="7" t="str">
        <f aca="false">Keywords!B55</f>
        <v>hoodie</v>
      </c>
      <c r="D15" s="7" t="str">
        <f aca="false">Keywords!B56</f>
        <v>mesh top</v>
      </c>
      <c r="E15" s="7" t="str">
        <f aca="false">Keywords!B57</f>
        <v>blazer</v>
      </c>
      <c r="F15" s="7" t="str">
        <f aca="false">Summary!$B$4</f>
        <v>leggings</v>
      </c>
      <c r="G15" s="7" t="str">
        <f aca="false">B15&amp;IF(C15="","",", "&amp;C15)&amp;IF(D15="","",", "&amp;D15)&amp;IF(E15="","",", "&amp;E15)&amp;", "&amp;F15</f>
        <v>turtleneck, hoodie, mesh top, blazer, leggings</v>
      </c>
    </row>
    <row r="16" customFormat="false" ht="15" hidden="false" customHeight="false" outlineLevel="0" collapsed="false">
      <c r="A16" s="8" t="n">
        <v>15</v>
      </c>
      <c r="B16" s="7" t="str">
        <f aca="false">Keywords!B58</f>
        <v>bomber jacket</v>
      </c>
      <c r="C16" s="7" t="str">
        <f aca="false">Keywords!B59</f>
        <v>puffer jacket</v>
      </c>
      <c r="D16" s="7" t="str">
        <f aca="false">Keywords!B60</f>
        <v>trench coat</v>
      </c>
      <c r="E16" s="7" t="str">
        <f aca="false">Keywords!B61</f>
        <v>leather jacket</v>
      </c>
      <c r="F16" s="7" t="str">
        <f aca="false">Summary!$B$4</f>
        <v>leggings</v>
      </c>
      <c r="G16" s="7" t="str">
        <f aca="false">B16&amp;IF(C16="","",", "&amp;C16)&amp;IF(D16="","",", "&amp;D16)&amp;IF(E16="","",", "&amp;E16)&amp;", "&amp;F16</f>
        <v>bomber jacket, puffer jacket, trench coat, leather jacket, leggings</v>
      </c>
    </row>
    <row r="17" customFormat="false" ht="15" hidden="false" customHeight="false" outlineLevel="0" collapsed="false">
      <c r="A17" s="8" t="n">
        <v>16</v>
      </c>
      <c r="B17" s="7" t="str">
        <f aca="false">Keywords!B62</f>
        <v>denim jacket</v>
      </c>
      <c r="C17" s="7" t="str">
        <f aca="false">Keywords!B63</f>
        <v>windbreaker</v>
      </c>
      <c r="D17" s="7" t="str">
        <f aca="false">Keywords!B64</f>
        <v>shacket</v>
      </c>
      <c r="E17" s="7" t="str">
        <f aca="false">Keywords!B65</f>
        <v>fleece jacket</v>
      </c>
      <c r="F17" s="7" t="str">
        <f aca="false">Summary!$B$4</f>
        <v>leggings</v>
      </c>
      <c r="G17" s="7" t="str">
        <f aca="false">B17&amp;IF(C17="","",", "&amp;C17)&amp;IF(D17="","",", "&amp;D17)&amp;IF(E17="","",", "&amp;E17)&amp;", "&amp;F17</f>
        <v>denim jacket, windbreaker, shacket, fleece jacket, leggings</v>
      </c>
    </row>
    <row r="18" customFormat="false" ht="15" hidden="false" customHeight="false" outlineLevel="0" collapsed="false">
      <c r="A18" s="8" t="n">
        <v>17</v>
      </c>
      <c r="B18" s="7" t="str">
        <f aca="false">Keywords!B66</f>
        <v>faux fur coat</v>
      </c>
      <c r="C18" s="7" t="str">
        <f aca="false">Keywords!B67</f>
        <v>ballet flats</v>
      </c>
      <c r="D18" s="7" t="str">
        <f aca="false">Keywords!B68</f>
        <v>mary janes</v>
      </c>
      <c r="E18" s="7" t="str">
        <f aca="false">Keywords!B69</f>
        <v>loafers</v>
      </c>
      <c r="F18" s="7" t="str">
        <f aca="false">Summary!$B$4</f>
        <v>leggings</v>
      </c>
      <c r="G18" s="7" t="str">
        <f aca="false">B18&amp;IF(C18="","",", "&amp;C18)&amp;IF(D18="","",", "&amp;D18)&amp;IF(E18="","",", "&amp;E18)&amp;", "&amp;F18</f>
        <v>faux fur coat, ballet flats, mary janes, loafers, leggings</v>
      </c>
    </row>
    <row r="19" customFormat="false" ht="15" hidden="false" customHeight="false" outlineLevel="0" collapsed="false">
      <c r="A19" s="8" t="n">
        <v>18</v>
      </c>
      <c r="B19" s="7" t="str">
        <f aca="false">Keywords!B70</f>
        <v>chunky sneakers</v>
      </c>
      <c r="C19" s="7" t="str">
        <f aca="false">Keywords!B71</f>
        <v>white sneakers</v>
      </c>
      <c r="D19" s="7" t="str">
        <f aca="false">Keywords!B72</f>
        <v>dad sneakers</v>
      </c>
      <c r="E19" s="7" t="str">
        <f aca="false">Keywords!B73</f>
        <v>platform shoes</v>
      </c>
      <c r="F19" s="7" t="str">
        <f aca="false">Summary!$B$4</f>
        <v>leggings</v>
      </c>
      <c r="G19" s="7" t="str">
        <f aca="false">B19&amp;IF(C19="","",", "&amp;C19)&amp;IF(D19="","",", "&amp;D19)&amp;IF(E19="","",", "&amp;E19)&amp;", "&amp;F19</f>
        <v>chunky sneakers, white sneakers, dad sneakers, platform shoes, leggings</v>
      </c>
    </row>
    <row r="20" customFormat="false" ht="15" hidden="false" customHeight="false" outlineLevel="0" collapsed="false">
      <c r="A20" s="8" t="n">
        <v>19</v>
      </c>
      <c r="B20" s="7" t="str">
        <f aca="false">Keywords!B74</f>
        <v>combat boots</v>
      </c>
      <c r="C20" s="7" t="str">
        <f aca="false">Keywords!B75</f>
        <v>knee high boots</v>
      </c>
      <c r="D20" s="7" t="str">
        <f aca="false">Keywords!B76</f>
        <v>cowboy boots</v>
      </c>
      <c r="E20" s="7" t="str">
        <f aca="false">Keywords!B77</f>
        <v>kitten heels</v>
      </c>
      <c r="F20" s="7" t="str">
        <f aca="false">Summary!$B$4</f>
        <v>leggings</v>
      </c>
      <c r="G20" s="7" t="str">
        <f aca="false">B20&amp;IF(C20="","",", "&amp;C20)&amp;IF(D20="","",", "&amp;D20)&amp;IF(E20="","",", "&amp;E20)&amp;", "&amp;F20</f>
        <v>combat boots, knee high boots, cowboy boots, kitten heels, leggings</v>
      </c>
    </row>
    <row r="21" customFormat="false" ht="15" hidden="false" customHeight="false" outlineLevel="0" collapsed="false">
      <c r="A21" s="8" t="n">
        <v>20</v>
      </c>
      <c r="B21" s="7" t="str">
        <f aca="false">Keywords!B78</f>
        <v>platform sandals</v>
      </c>
      <c r="C21" s="7" t="str">
        <f aca="false">Keywords!B79</f>
        <v>clogs</v>
      </c>
      <c r="D21" s="7" t="str">
        <f aca="false">Keywords!B80</f>
        <v>mules</v>
      </c>
      <c r="E21" s="7" t="str">
        <f aca="false">Keywords!B81</f>
        <v>baguette bag</v>
      </c>
      <c r="F21" s="7" t="str">
        <f aca="false">Summary!$B$4</f>
        <v>leggings</v>
      </c>
      <c r="G21" s="7" t="str">
        <f aca="false">B21&amp;IF(C21="","",", "&amp;C21)&amp;IF(D21="","",", "&amp;D21)&amp;IF(E21="","",", "&amp;E21)&amp;", "&amp;F21</f>
        <v>platform sandals, clogs, mules, baguette bag, leggings</v>
      </c>
    </row>
    <row r="22" customFormat="false" ht="15" hidden="false" customHeight="false" outlineLevel="0" collapsed="false">
      <c r="A22" s="8" t="n">
        <v>21</v>
      </c>
      <c r="B22" s="7" t="str">
        <f aca="false">Keywords!B82</f>
        <v>tote bag</v>
      </c>
      <c r="C22" s="7" t="str">
        <f aca="false">Keywords!B83</f>
        <v>shoulder bag</v>
      </c>
      <c r="D22" s="7" t="str">
        <f aca="false">Keywords!B84</f>
        <v>crossbody bag</v>
      </c>
      <c r="E22" s="7" t="str">
        <f aca="false">Keywords!B85</f>
        <v>bucket bag</v>
      </c>
      <c r="F22" s="7" t="str">
        <f aca="false">Summary!$B$4</f>
        <v>leggings</v>
      </c>
      <c r="G22" s="7" t="str">
        <f aca="false">B22&amp;IF(C22="","",", "&amp;C22)&amp;IF(D22="","",", "&amp;D22)&amp;IF(E22="","",", "&amp;E22)&amp;", "&amp;F22</f>
        <v>tote bag, shoulder bag, crossbody bag, bucket bag, leggings</v>
      </c>
    </row>
    <row r="23" customFormat="false" ht="15" hidden="false" customHeight="false" outlineLevel="0" collapsed="false">
      <c r="A23" s="8" t="n">
        <v>22</v>
      </c>
      <c r="B23" s="7" t="str">
        <f aca="false">Keywords!B86</f>
        <v>mini bag</v>
      </c>
      <c r="C23" s="7" t="str">
        <f aca="false">Keywords!B87</f>
        <v>hobo bag</v>
      </c>
      <c r="D23" s="7" t="str">
        <f aca="false">Keywords!B88</f>
        <v>clutch bag</v>
      </c>
      <c r="E23" s="7" t="str">
        <f aca="false">Keywords!B89</f>
        <v>belt bag</v>
      </c>
      <c r="F23" s="7" t="str">
        <f aca="false">Summary!$B$4</f>
        <v>leggings</v>
      </c>
      <c r="G23" s="7" t="str">
        <f aca="false">B23&amp;IF(C23="","",", "&amp;C23)&amp;IF(D23="","",", "&amp;D23)&amp;IF(E23="","",", "&amp;E23)&amp;", "&amp;F23</f>
        <v>mini bag, hobo bag, clutch bag, belt bag, leggings</v>
      </c>
    </row>
    <row r="24" customFormat="false" ht="15" hidden="false" customHeight="false" outlineLevel="0" collapsed="false">
      <c r="A24" s="8" t="n">
        <v>23</v>
      </c>
      <c r="B24" s="7" t="str">
        <f aca="false">Keywords!B90</f>
        <v>backpack</v>
      </c>
      <c r="C24" s="7" t="str">
        <f aca="false">Keywords!B91</f>
        <v>claw clip</v>
      </c>
      <c r="D24" s="7" t="str">
        <f aca="false">Keywords!B92</f>
        <v>scrunchie</v>
      </c>
      <c r="E24" s="7" t="str">
        <f aca="false">Keywords!B93</f>
        <v>headband</v>
      </c>
      <c r="F24" s="7" t="str">
        <f aca="false">Summary!$B$4</f>
        <v>leggings</v>
      </c>
      <c r="G24" s="7" t="str">
        <f aca="false">B24&amp;IF(C24="","",", "&amp;C24)&amp;IF(D24="","",", "&amp;D24)&amp;IF(E24="","",", "&amp;E24)&amp;", "&amp;F24</f>
        <v>backpack, claw clip, scrunchie, headband, leggings</v>
      </c>
    </row>
    <row r="25" customFormat="false" ht="15" hidden="false" customHeight="false" outlineLevel="0" collapsed="false">
      <c r="A25" s="8" t="n">
        <v>24</v>
      </c>
      <c r="B25" s="7" t="str">
        <f aca="false">Keywords!B94</f>
        <v>bucket hat</v>
      </c>
      <c r="C25" s="7" t="str">
        <f aca="false">Keywords!B95</f>
        <v>beanie</v>
      </c>
      <c r="D25" s="7" t="str">
        <f aca="false">Keywords!B96</f>
        <v>baseball cap</v>
      </c>
      <c r="E25" s="7" t="str">
        <f aca="false">Keywords!B97</f>
        <v>scarf</v>
      </c>
      <c r="F25" s="7" t="str">
        <f aca="false">Summary!$B$4</f>
        <v>leggings</v>
      </c>
      <c r="G25" s="7" t="str">
        <f aca="false">B25&amp;IF(C25="","",", "&amp;C25)&amp;IF(D25="","",", "&amp;D25)&amp;IF(E25="","",", "&amp;E25)&amp;", "&amp;F25</f>
        <v>bucket hat, beanie, baseball cap, scarf, leggings</v>
      </c>
    </row>
    <row r="26" customFormat="false" ht="15" hidden="false" customHeight="false" outlineLevel="0" collapsed="false">
      <c r="A26" s="8" t="n">
        <v>25</v>
      </c>
      <c r="B26" s="7" t="str">
        <f aca="false">Keywords!B98</f>
        <v>oversized sunglasses</v>
      </c>
      <c r="C26" s="7" t="str">
        <f aca="false">Keywords!B99</f>
        <v>aviator sunglasses</v>
      </c>
      <c r="D26" s="7" t="str">
        <f aca="false">Keywords!B100</f>
        <v>hoop earrings</v>
      </c>
      <c r="E26" s="7" t="str">
        <f aca="false">Keywords!B101</f>
        <v>layered necklace</v>
      </c>
      <c r="F26" s="7" t="str">
        <f aca="false">Summary!$B$4</f>
        <v>leggings</v>
      </c>
      <c r="G26" s="7" t="str">
        <f aca="false">B26&amp;IF(C26="","",", "&amp;C26)&amp;IF(D26="","",", "&amp;D26)&amp;IF(E26="","",", "&amp;E26)&amp;", "&amp;F26</f>
        <v>oversized sunglasses, aviator sunglasses, hoop earrings, layered necklace, leggings</v>
      </c>
    </row>
    <row r="27" customFormat="false" ht="15" hidden="false" customHeight="false" outlineLevel="0" collapsed="false">
      <c r="A27" s="8" t="n">
        <v>26</v>
      </c>
      <c r="B27" s="7" t="str">
        <f aca="false">Keywords!B102</f>
        <v>chunky necklace</v>
      </c>
      <c r="C27" s="7" t="str">
        <f aca="false">Keywords!B103</f>
        <v>polka dot</v>
      </c>
      <c r="D27" s="7" t="str">
        <f aca="false">Keywords!B104</f>
        <v>leopard print</v>
      </c>
      <c r="E27" s="7" t="str">
        <f aca="false">Keywords!B105</f>
        <v>plaid</v>
      </c>
      <c r="F27" s="7" t="str">
        <f aca="false">Summary!$B$4</f>
        <v>leggings</v>
      </c>
      <c r="G27" s="7" t="str">
        <f aca="false">B27&amp;IF(C27="","",", "&amp;C27)&amp;IF(D27="","",", "&amp;D27)&amp;IF(E27="","",", "&amp;E27)&amp;", "&amp;F27</f>
        <v>chunky necklace, polka dot, leopard print, plaid, leggings</v>
      </c>
    </row>
    <row r="28" customFormat="false" ht="15" hidden="false" customHeight="false" outlineLevel="0" collapsed="false">
      <c r="A28" s="8" t="n">
        <v>27</v>
      </c>
      <c r="B28" s="7" t="str">
        <f aca="false">Keywords!B106</f>
        <v>gingham</v>
      </c>
      <c r="C28" s="7" t="str">
        <f aca="false">Keywords!B107</f>
        <v>tie dye</v>
      </c>
      <c r="D28" s="7" t="str">
        <f aca="false">Keywords!B108</f>
        <v>floral print</v>
      </c>
      <c r="E28" s="7" t="str">
        <f aca="false">Keywords!B109</f>
        <v>sequin</v>
      </c>
      <c r="F28" s="7" t="str">
        <f aca="false">Summary!$B$4</f>
        <v>leggings</v>
      </c>
      <c r="G28" s="7" t="str">
        <f aca="false">B28&amp;IF(C28="","",", "&amp;C28)&amp;IF(D28="","",", "&amp;D28)&amp;IF(E28="","",", "&amp;E28)&amp;", "&amp;F28</f>
        <v>gingham, tie dye, floral print, sequin, leggings</v>
      </c>
    </row>
    <row r="29" customFormat="false" ht="15" hidden="false" customHeight="false" outlineLevel="0" collapsed="false">
      <c r="A29" s="8" t="n">
        <v>28</v>
      </c>
      <c r="B29" s="7" t="str">
        <f aca="false">Keywords!B110</f>
        <v>satin</v>
      </c>
      <c r="C29" s="7" t="str">
        <f aca="false">Keywords!B111</f>
        <v>velvet</v>
      </c>
      <c r="D29" s="7" t="str">
        <f aca="false">Keywords!B112</f>
        <v>linen</v>
      </c>
      <c r="E29" s="7" t="str">
        <f aca="false">Keywords!B113</f>
        <v>lace</v>
      </c>
      <c r="F29" s="7" t="str">
        <f aca="false">Summary!$B$4</f>
        <v>leggings</v>
      </c>
      <c r="G29" s="7" t="str">
        <f aca="false">B29&amp;IF(C29="","",", "&amp;C29)&amp;IF(D29="","",", "&amp;D29)&amp;IF(E29="","",", "&amp;E29)&amp;", "&amp;F29</f>
        <v>satin, velvet, linen, lace, leggings</v>
      </c>
    </row>
    <row r="30" customFormat="false" ht="15" hidden="false" customHeight="false" outlineLevel="0" collapsed="false">
      <c r="A30" s="8" t="n">
        <v>29</v>
      </c>
      <c r="B30" s="7" t="str">
        <f aca="false">Keywords!B114</f>
        <v>sage green</v>
      </c>
      <c r="C30" s="7" t="str">
        <f aca="false">Keywords!B115</f>
        <v>burgundy</v>
      </c>
      <c r="D30" s="7" t="str">
        <f aca="false">Keywords!B116</f>
        <v>lilac</v>
      </c>
      <c r="E30" s="7" t="str">
        <f aca="false">Keywords!B117</f>
        <v>butter yellow</v>
      </c>
      <c r="F30" s="7" t="str">
        <f aca="false">Summary!$B$4</f>
        <v>leggings</v>
      </c>
      <c r="G30" s="7" t="str">
        <f aca="false">B30&amp;IF(C30="","",", "&amp;C30)&amp;IF(D30="","",", "&amp;D30)&amp;IF(E30="","",", "&amp;E30)&amp;", "&amp;F30</f>
        <v>sage green, burgundy, lilac, butter yellow, leggings</v>
      </c>
    </row>
    <row r="31" customFormat="false" ht="15" hidden="false" customHeight="false" outlineLevel="0" collapsed="false">
      <c r="A31" s="8" t="n">
        <v>30</v>
      </c>
      <c r="B31" s="7" t="str">
        <f aca="false">Keywords!B118</f>
        <v>chocolate brown</v>
      </c>
      <c r="C31" s="7" t="str">
        <f aca="false">Keywords!B119</f>
        <v>cherry red</v>
      </c>
      <c r="D31" s="7" t="str">
        <f aca="false">Keywords!B120</f>
        <v>baby blue</v>
      </c>
      <c r="E31" s="7" t="str">
        <f aca="false">Keywords!B121</f>
        <v>olive green</v>
      </c>
      <c r="F31" s="7" t="str">
        <f aca="false">Summary!$B$4</f>
        <v>leggings</v>
      </c>
      <c r="G31" s="7" t="str">
        <f aca="false">B31&amp;IF(C31="","",", "&amp;C31)&amp;IF(D31="","",", "&amp;D31)&amp;IF(E31="","",", "&amp;E31)&amp;", "&amp;F31</f>
        <v>chocolate brown, cherry red, baby blue, olive green, leggings</v>
      </c>
    </row>
    <row r="32" customFormat="false" ht="15" hidden="false" customHeight="false" outlineLevel="0" collapsed="false">
      <c r="A32" s="8" t="n">
        <v>31</v>
      </c>
      <c r="B32" s="7" t="str">
        <f aca="false">Keywords!B122</f>
        <v>y2k fashion</v>
      </c>
      <c r="C32" s="7" t="str">
        <f aca="false">Keywords!B123</f>
        <v>quiet luxury</v>
      </c>
      <c r="D32" s="7" t="str">
        <f aca="false">Keywords!B124</f>
        <v>old money style</v>
      </c>
      <c r="E32" s="7" t="str">
        <f aca="false">Keywords!B125</f>
        <v>coquette</v>
      </c>
      <c r="F32" s="7" t="str">
        <f aca="false">Summary!$B$4</f>
        <v>leggings</v>
      </c>
      <c r="G32" s="7" t="str">
        <f aca="false">B32&amp;IF(C32="","",", "&amp;C32)&amp;IF(D32="","",", "&amp;D32)&amp;IF(E32="","",", "&amp;E32)&amp;", "&amp;F32</f>
        <v>y2k fashion, quiet luxury, old money style, coquette, leggings</v>
      </c>
    </row>
    <row r="33" customFormat="false" ht="15" hidden="false" customHeight="false" outlineLevel="0" collapsed="false">
      <c r="A33" s="8" t="n">
        <v>32</v>
      </c>
      <c r="B33" s="7" t="str">
        <f aca="false">Keywords!B126</f>
        <v>balletcore</v>
      </c>
      <c r="C33" s="7" t="str">
        <f aca="false">Keywords!B127</f>
        <v>gorpcore</v>
      </c>
      <c r="D33" s="7" t="str">
        <f aca="false">Keywords!B128</f>
        <v>cottagecore</v>
      </c>
      <c r="E33" s="7" t="str">
        <f aca="false">Keywords!B129</f>
        <v>dark academia</v>
      </c>
      <c r="F33" s="7" t="str">
        <f aca="false">Summary!$B$4</f>
        <v>leggings</v>
      </c>
      <c r="G33" s="7" t="str">
        <f aca="false">B33&amp;IF(C33="","",", "&amp;C33)&amp;IF(D33="","",", "&amp;D33)&amp;IF(E33="","",", "&amp;E33)&amp;", "&amp;F33</f>
        <v>balletcore, gorpcore, cottagecore, dark academia, leggings</v>
      </c>
    </row>
    <row r="34" customFormat="false" ht="15" hidden="false" customHeight="false" outlineLevel="0" collapsed="false">
      <c r="A34" s="8" t="n">
        <v>33</v>
      </c>
      <c r="B34" s="7" t="str">
        <f aca="false">Keywords!B130</f>
        <v>grunge</v>
      </c>
      <c r="C34" s="7" t="str">
        <f aca="false">Keywords!B131</f>
        <v>boho style</v>
      </c>
      <c r="D34" s="7" t="str">
        <f aca="false">Keywords!B132</f>
        <v>streetwear</v>
      </c>
      <c r="E34" s="7" t="str">
        <f aca="false">Keywords!B133</f>
        <v>preppy style</v>
      </c>
      <c r="F34" s="7" t="str">
        <f aca="false">Summary!$B$4</f>
        <v>leggings</v>
      </c>
      <c r="G34" s="7" t="str">
        <f aca="false">B34&amp;IF(C34="","",", "&amp;C34)&amp;IF(D34="","",", "&amp;D34)&amp;IF(E34="","",", "&amp;E34)&amp;", "&amp;F34</f>
        <v>grunge, boho style, streetwear, preppy style, leggings</v>
      </c>
    </row>
    <row r="35" customFormat="false" ht="15" hidden="false" customHeight="false" outlineLevel="0" collapsed="false">
      <c r="A35" s="8" t="n">
        <v>34</v>
      </c>
      <c r="B35" s="7" t="str">
        <f aca="false">Keywords!B134</f>
        <v>athleisure</v>
      </c>
      <c r="C35" s="7" t="str">
        <f aca="false">Keywords!B135</f>
        <v>normcore</v>
      </c>
      <c r="D35" s="7" t="str">
        <f aca="false">Keywords!B136</f>
        <v>clean girl aesthetic</v>
      </c>
      <c r="E35" s="7" t="str">
        <f aca="false">Keywords!B137</f>
        <v>mob wife aesthetic</v>
      </c>
      <c r="F35" s="7" t="str">
        <f aca="false">Summary!$B$4</f>
        <v>leggings</v>
      </c>
      <c r="G35" s="7" t="str">
        <f aca="false">B35&amp;IF(C35="","",", "&amp;C35)&amp;IF(D35="","",", "&amp;D35)&amp;IF(E35="","",", "&amp;E35)&amp;", "&amp;F35</f>
        <v>athleisure, normcore, clean girl aesthetic, mob wife aesthetic, leggings</v>
      </c>
    </row>
    <row r="36" customFormat="false" ht="15" hidden="false" customHeight="false" outlineLevel="0" collapsed="false">
      <c r="A36" s="8" t="n">
        <v>35</v>
      </c>
      <c r="B36" s="7" t="str">
        <f aca="false">Keywords!B138</f>
        <v>capsule wardrobe</v>
      </c>
      <c r="C36" s="7"/>
      <c r="D36" s="7"/>
      <c r="E36" s="7"/>
      <c r="F36" s="7" t="str">
        <f aca="false">Summary!$B$4</f>
        <v>leggings</v>
      </c>
      <c r="G36" s="7" t="str">
        <f aca="false">B36&amp;IF(C36="","",", "&amp;C36)&amp;IF(D36="","",", "&amp;D36)&amp;IF(E36="","",", "&amp;E36)&amp;", "&amp;F36</f>
        <v>capsule wardrobe, leggings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2026-10-22T07:21:00Z</dcterms:created>
  <dc:creator>openpyxl</dc:creator>
  <dc:description/>
  <dc:language>en-US</dc:language>
  <cp:lastModifiedBy/>
  <dcterms:modified xsi:type="dcterms:W3CDTF">2026-10-22T07:21:00Z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